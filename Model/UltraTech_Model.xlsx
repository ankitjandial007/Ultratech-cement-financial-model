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ltratech_Project\Ultratech_Project\"/>
    </mc:Choice>
  </mc:AlternateContent>
  <xr:revisionPtr revIDLastSave="0" documentId="13_ncr:1_{7D9CDE1D-A959-4384-B1BA-DF2DFC4D07AF}" xr6:coauthVersionLast="47" xr6:coauthVersionMax="47" xr10:uidLastSave="{00000000-0000-0000-0000-000000000000}"/>
  <bookViews>
    <workbookView xWindow="-120" yWindow="-120" windowWidth="29040" windowHeight="16440" xr2:uid="{B185F84A-643D-4573-9EA2-2722EF41EDCC}"/>
  </bookViews>
  <sheets>
    <sheet name="Cover" sheetId="1" r:id="rId1"/>
    <sheet name="IS" sheetId="2" r:id="rId2"/>
    <sheet name="BS" sheetId="7" r:id="rId3"/>
    <sheet name="CF" sheetId="8" r:id="rId4"/>
    <sheet name="Ops_Data" sheetId="11" r:id="rId5"/>
    <sheet name="Ops_Forecast" sheetId="10" r:id="rId6"/>
    <sheet name="Capex_DA" sheetId="12" r:id="rId7"/>
    <sheet name="WC" sheetId="13" r:id="rId8"/>
    <sheet name="Debt" sheetId="14" r:id="rId9"/>
    <sheet name="Fin_Inputs" sheetId="15" r:id="rId10"/>
    <sheet name="Acquisition" sheetId="16" r:id="rId11"/>
    <sheet name="Check" sheetId="6" r:id="rId1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4" i="16" l="1"/>
  <c r="C92" i="16"/>
  <c r="C90" i="16"/>
  <c r="C91" i="16" s="1"/>
  <c r="C93" i="16" s="1"/>
  <c r="D83" i="16"/>
  <c r="E83" i="16"/>
  <c r="C83" i="16"/>
  <c r="D76" i="16"/>
  <c r="D77" i="16" s="1"/>
  <c r="E76" i="16"/>
  <c r="E77" i="16" s="1"/>
  <c r="C76" i="16"/>
  <c r="C77" i="16" s="1"/>
  <c r="C68" i="16"/>
  <c r="C62" i="16"/>
  <c r="C61" i="16"/>
  <c r="C48" i="16"/>
  <c r="C46" i="16"/>
  <c r="C49" i="16"/>
  <c r="C40" i="16"/>
  <c r="C33" i="16"/>
  <c r="E26" i="16"/>
  <c r="D26" i="16"/>
  <c r="D27" i="16" s="1"/>
  <c r="C26" i="16"/>
  <c r="C27" i="16" s="1"/>
  <c r="E21" i="16"/>
  <c r="E18" i="16"/>
  <c r="E27" i="16" s="1"/>
  <c r="D22" i="16"/>
  <c r="C19" i="16"/>
  <c r="C12" i="16"/>
  <c r="E10" i="16"/>
  <c r="F10" i="16" s="1"/>
  <c r="E11" i="16"/>
  <c r="F11" i="16" s="1"/>
  <c r="E9" i="16"/>
  <c r="C3" i="16"/>
  <c r="J24" i="14"/>
  <c r="K24" i="14"/>
  <c r="L24" i="14"/>
  <c r="I24" i="14"/>
  <c r="H24" i="14"/>
  <c r="C11" i="8"/>
  <c r="C18" i="1"/>
  <c r="C17" i="1"/>
  <c r="C14" i="1"/>
  <c r="C13" i="1"/>
  <c r="H8" i="7"/>
  <c r="J31" i="12"/>
  <c r="K31" i="12"/>
  <c r="L31" i="12"/>
  <c r="I31" i="12"/>
  <c r="H31" i="12"/>
  <c r="H32" i="7"/>
  <c r="I32" i="7" s="1"/>
  <c r="J32" i="7" s="1"/>
  <c r="K32" i="7" s="1"/>
  <c r="L32" i="7" s="1"/>
  <c r="H31" i="7"/>
  <c r="I31" i="7" s="1"/>
  <c r="J31" i="7" s="1"/>
  <c r="K31" i="7" s="1"/>
  <c r="L31" i="7" s="1"/>
  <c r="H30" i="7"/>
  <c r="I30" i="7" s="1"/>
  <c r="J30" i="7" s="1"/>
  <c r="K30" i="7" s="1"/>
  <c r="L30" i="7" s="1"/>
  <c r="H28" i="7"/>
  <c r="I28" i="7" s="1"/>
  <c r="J28" i="7" s="1"/>
  <c r="H20" i="7"/>
  <c r="I20" i="7" s="1"/>
  <c r="J20" i="7" s="1"/>
  <c r="K20" i="7" s="1"/>
  <c r="L20" i="7" s="1"/>
  <c r="H16" i="7"/>
  <c r="I16" i="7" s="1"/>
  <c r="J16" i="7" s="1"/>
  <c r="K16" i="7" s="1"/>
  <c r="L16" i="7" s="1"/>
  <c r="H15" i="7"/>
  <c r="I15" i="7" s="1"/>
  <c r="J15" i="7" s="1"/>
  <c r="K15" i="7" s="1"/>
  <c r="L15" i="7" s="1"/>
  <c r="H9" i="7"/>
  <c r="I9" i="7" s="1"/>
  <c r="J9" i="7" s="1"/>
  <c r="K9" i="7" s="1"/>
  <c r="L9" i="7" s="1"/>
  <c r="H10" i="7"/>
  <c r="I10" i="7" s="1"/>
  <c r="J10" i="7" s="1"/>
  <c r="K10" i="7" s="1"/>
  <c r="L10" i="7" s="1"/>
  <c r="H11" i="7"/>
  <c r="I11" i="7" s="1"/>
  <c r="J11" i="7" s="1"/>
  <c r="K11" i="7" s="1"/>
  <c r="L11" i="7" s="1"/>
  <c r="I8" i="7"/>
  <c r="J8" i="7" s="1"/>
  <c r="K8" i="7" s="1"/>
  <c r="L8" i="7" s="1"/>
  <c r="H21" i="8"/>
  <c r="I19" i="8"/>
  <c r="J19" i="8"/>
  <c r="K19" i="8"/>
  <c r="L19" i="8"/>
  <c r="H19" i="8"/>
  <c r="D9" i="8"/>
  <c r="E9" i="8"/>
  <c r="F9" i="8"/>
  <c r="G9" i="8"/>
  <c r="C9" i="8"/>
  <c r="D8" i="8"/>
  <c r="E8" i="8"/>
  <c r="F8" i="8"/>
  <c r="G8" i="8"/>
  <c r="C8" i="8"/>
  <c r="I28" i="2"/>
  <c r="J28" i="2"/>
  <c r="K28" i="2"/>
  <c r="L28" i="2"/>
  <c r="H28" i="2"/>
  <c r="I27" i="2"/>
  <c r="J27" i="2"/>
  <c r="K27" i="2"/>
  <c r="L27" i="2"/>
  <c r="H27" i="2"/>
  <c r="H8" i="2"/>
  <c r="E8" i="15"/>
  <c r="F8" i="15"/>
  <c r="G8" i="15"/>
  <c r="D8" i="15"/>
  <c r="D39" i="7"/>
  <c r="D40" i="7" s="1"/>
  <c r="E39" i="7"/>
  <c r="E40" i="7" s="1"/>
  <c r="F39" i="7"/>
  <c r="F40" i="7" s="1"/>
  <c r="G39" i="7"/>
  <c r="G40" i="7" s="1"/>
  <c r="C39" i="7"/>
  <c r="C40" i="7" s="1"/>
  <c r="D12" i="15"/>
  <c r="E12" i="15"/>
  <c r="F12" i="15"/>
  <c r="G12" i="15"/>
  <c r="C12" i="15"/>
  <c r="D10" i="15"/>
  <c r="E10" i="15"/>
  <c r="F10" i="15"/>
  <c r="G10" i="15"/>
  <c r="C10" i="15"/>
  <c r="D9" i="15"/>
  <c r="E9" i="15"/>
  <c r="F9" i="15"/>
  <c r="G9" i="15"/>
  <c r="C9" i="15"/>
  <c r="D18" i="14"/>
  <c r="E18" i="14"/>
  <c r="F18" i="14"/>
  <c r="G18" i="14"/>
  <c r="C18" i="14"/>
  <c r="D12" i="14"/>
  <c r="E12" i="14"/>
  <c r="F12" i="14"/>
  <c r="G12" i="14"/>
  <c r="H12" i="14" s="1"/>
  <c r="H26" i="7" s="1"/>
  <c r="D13" i="14"/>
  <c r="E13" i="14"/>
  <c r="F13" i="14"/>
  <c r="G13" i="14"/>
  <c r="H13" i="14" s="1"/>
  <c r="C13" i="14"/>
  <c r="C12" i="14"/>
  <c r="D15" i="13"/>
  <c r="E15" i="13"/>
  <c r="F15" i="13"/>
  <c r="G15" i="13"/>
  <c r="C15" i="13"/>
  <c r="D14" i="13"/>
  <c r="E14" i="13"/>
  <c r="F14" i="13"/>
  <c r="G14" i="13"/>
  <c r="C14" i="13"/>
  <c r="D13" i="13"/>
  <c r="E13" i="13"/>
  <c r="F13" i="13"/>
  <c r="G13" i="13"/>
  <c r="C13" i="13"/>
  <c r="I21" i="12"/>
  <c r="J21" i="12"/>
  <c r="K21" i="12"/>
  <c r="L21" i="12"/>
  <c r="H21" i="12"/>
  <c r="I9" i="12"/>
  <c r="H16" i="12"/>
  <c r="I16" i="12"/>
  <c r="J16" i="12"/>
  <c r="K16" i="12"/>
  <c r="K18" i="12" s="1"/>
  <c r="L16" i="12"/>
  <c r="L18" i="12" s="1"/>
  <c r="D23" i="12"/>
  <c r="E23" i="12"/>
  <c r="F27" i="12" s="1"/>
  <c r="F20" i="12" s="1"/>
  <c r="F23" i="12"/>
  <c r="G27" i="12" s="1"/>
  <c r="G20" i="12" s="1"/>
  <c r="G23" i="12"/>
  <c r="C23" i="12"/>
  <c r="D22" i="12"/>
  <c r="E22" i="12"/>
  <c r="F22" i="12"/>
  <c r="G22" i="12"/>
  <c r="D19" i="12"/>
  <c r="D28" i="12" s="1"/>
  <c r="E19" i="12"/>
  <c r="E28" i="12" s="1"/>
  <c r="F19" i="12"/>
  <c r="F28" i="12" s="1"/>
  <c r="G19" i="12"/>
  <c r="C19" i="12"/>
  <c r="C22" i="12"/>
  <c r="D32" i="10"/>
  <c r="E32" i="10"/>
  <c r="F32" i="10"/>
  <c r="G32" i="10"/>
  <c r="C32" i="10"/>
  <c r="D16" i="10"/>
  <c r="E16" i="10"/>
  <c r="F16" i="10"/>
  <c r="G16" i="10"/>
  <c r="D21" i="10"/>
  <c r="E21" i="10"/>
  <c r="F21" i="10"/>
  <c r="G21" i="10"/>
  <c r="C21" i="10"/>
  <c r="C23" i="10" s="1"/>
  <c r="F16" i="11"/>
  <c r="E16" i="11"/>
  <c r="D16" i="11"/>
  <c r="F17" i="11"/>
  <c r="E27" i="10" s="1"/>
  <c r="G17" i="11"/>
  <c r="F27" i="10" s="1"/>
  <c r="G16" i="11"/>
  <c r="D7" i="10"/>
  <c r="E7" i="10"/>
  <c r="F7" i="10"/>
  <c r="G7" i="10"/>
  <c r="C11" i="1" s="1"/>
  <c r="C7" i="10"/>
  <c r="E17" i="11"/>
  <c r="D27" i="10" s="1"/>
  <c r="H17" i="11"/>
  <c r="G27" i="10" s="1"/>
  <c r="D17" i="11"/>
  <c r="C27" i="10" s="1"/>
  <c r="H16" i="11"/>
  <c r="E14" i="11"/>
  <c r="F14" i="11"/>
  <c r="G14" i="11"/>
  <c r="H14" i="11"/>
  <c r="D14" i="11"/>
  <c r="D27" i="8"/>
  <c r="E27" i="8"/>
  <c r="F27" i="8"/>
  <c r="G27" i="8"/>
  <c r="D26" i="8"/>
  <c r="E26" i="8"/>
  <c r="F26" i="8"/>
  <c r="G26" i="8"/>
  <c r="C27" i="8"/>
  <c r="C26" i="8"/>
  <c r="D14" i="8"/>
  <c r="D16" i="8" s="1"/>
  <c r="E14" i="8"/>
  <c r="E16" i="8" s="1"/>
  <c r="F14" i="8"/>
  <c r="F16" i="8" s="1"/>
  <c r="G14" i="8"/>
  <c r="G16" i="8" s="1"/>
  <c r="C14" i="8"/>
  <c r="C16" i="8" s="1"/>
  <c r="D44" i="7"/>
  <c r="E44" i="7"/>
  <c r="F44" i="7"/>
  <c r="G44" i="7"/>
  <c r="C44" i="7"/>
  <c r="D43" i="7"/>
  <c r="E43" i="7"/>
  <c r="F43" i="7"/>
  <c r="G43" i="7"/>
  <c r="C43" i="7"/>
  <c r="D42" i="7"/>
  <c r="E42" i="7"/>
  <c r="F42" i="7"/>
  <c r="G42" i="7"/>
  <c r="C42" i="7"/>
  <c r="G33" i="7"/>
  <c r="F33" i="7"/>
  <c r="E33" i="7"/>
  <c r="D33" i="7"/>
  <c r="C33" i="7"/>
  <c r="D23" i="7"/>
  <c r="E23" i="7"/>
  <c r="F23" i="7"/>
  <c r="G23" i="7"/>
  <c r="C23" i="7"/>
  <c r="D17" i="7"/>
  <c r="E17" i="7"/>
  <c r="F17" i="7"/>
  <c r="G17" i="7"/>
  <c r="C17" i="7"/>
  <c r="D36" i="2"/>
  <c r="E36" i="2"/>
  <c r="F36" i="2"/>
  <c r="G36" i="2"/>
  <c r="G19" i="2"/>
  <c r="G22" i="2" s="1"/>
  <c r="G9" i="2"/>
  <c r="F19" i="2"/>
  <c r="F22" i="2" s="1"/>
  <c r="E19" i="2"/>
  <c r="E22" i="2" s="1"/>
  <c r="F9" i="2"/>
  <c r="E9" i="2"/>
  <c r="D19" i="2"/>
  <c r="D22" i="2" s="1"/>
  <c r="D25" i="8" s="1"/>
  <c r="D9" i="2"/>
  <c r="C19" i="2"/>
  <c r="C22" i="2" s="1"/>
  <c r="C9" i="2"/>
  <c r="C50" i="16" l="1"/>
  <c r="D78" i="16"/>
  <c r="D79" i="16" s="1"/>
  <c r="D80" i="16" s="1"/>
  <c r="E78" i="16"/>
  <c r="E79" i="16" s="1"/>
  <c r="E80" i="16" s="1"/>
  <c r="C78" i="16"/>
  <c r="C79" i="16" s="1"/>
  <c r="C80" i="16" s="1"/>
  <c r="D23" i="16"/>
  <c r="D28" i="16"/>
  <c r="C20" i="16"/>
  <c r="E32" i="16"/>
  <c r="E12" i="16"/>
  <c r="F9" i="16"/>
  <c r="F12" i="16" s="1"/>
  <c r="C14" i="16" s="1"/>
  <c r="D32" i="16" s="1"/>
  <c r="C14" i="14"/>
  <c r="F8" i="10"/>
  <c r="F16" i="12" s="1"/>
  <c r="D20" i="10"/>
  <c r="D22" i="10" s="1"/>
  <c r="E15" i="11"/>
  <c r="F15" i="11"/>
  <c r="E20" i="10"/>
  <c r="E22" i="10" s="1"/>
  <c r="F20" i="10"/>
  <c r="F22" i="10" s="1"/>
  <c r="G15" i="11"/>
  <c r="G20" i="10"/>
  <c r="G22" i="10" s="1"/>
  <c r="H15" i="11"/>
  <c r="D15" i="11"/>
  <c r="C20" i="10"/>
  <c r="C22" i="10" s="1"/>
  <c r="G41" i="7"/>
  <c r="C19" i="1" s="1"/>
  <c r="E41" i="7"/>
  <c r="F41" i="7"/>
  <c r="D41" i="7"/>
  <c r="C41" i="7"/>
  <c r="H18" i="11"/>
  <c r="G25" i="8"/>
  <c r="G18" i="11"/>
  <c r="F25" i="8"/>
  <c r="F18" i="11"/>
  <c r="E25" i="8"/>
  <c r="D18" i="11"/>
  <c r="C25" i="8"/>
  <c r="I13" i="14"/>
  <c r="H27" i="7"/>
  <c r="H39" i="7" s="1"/>
  <c r="K28" i="7"/>
  <c r="F21" i="12"/>
  <c r="G21" i="12"/>
  <c r="H25" i="14"/>
  <c r="I12" i="14"/>
  <c r="D37" i="2"/>
  <c r="E18" i="11"/>
  <c r="C24" i="12"/>
  <c r="H14" i="14"/>
  <c r="F14" i="14"/>
  <c r="G14" i="14"/>
  <c r="D14" i="14"/>
  <c r="E14" i="14"/>
  <c r="D16" i="13"/>
  <c r="E16" i="13"/>
  <c r="F16" i="13"/>
  <c r="G16" i="13"/>
  <c r="C16" i="13"/>
  <c r="H27" i="12"/>
  <c r="D29" i="12"/>
  <c r="E29" i="12"/>
  <c r="F29" i="12"/>
  <c r="F30" i="12" s="1"/>
  <c r="G29" i="12"/>
  <c r="G28" i="12"/>
  <c r="G24" i="12"/>
  <c r="J9" i="12"/>
  <c r="E27" i="12"/>
  <c r="E20" i="12" s="1"/>
  <c r="D27" i="12"/>
  <c r="D20" i="12" s="1"/>
  <c r="D24" i="12"/>
  <c r="E24" i="12"/>
  <c r="F24" i="12"/>
  <c r="H32" i="10"/>
  <c r="H15" i="2" s="1"/>
  <c r="E11" i="10"/>
  <c r="F11" i="10"/>
  <c r="E8" i="10"/>
  <c r="E16" i="12" s="1"/>
  <c r="D8" i="10"/>
  <c r="D16" i="12" s="1"/>
  <c r="G11" i="10"/>
  <c r="H27" i="10"/>
  <c r="H7" i="10"/>
  <c r="H20" i="10" s="1"/>
  <c r="G8" i="10"/>
  <c r="G16" i="12" s="1"/>
  <c r="D11" i="10"/>
  <c r="D23" i="10"/>
  <c r="D9" i="10"/>
  <c r="E23" i="10"/>
  <c r="E9" i="10"/>
  <c r="F9" i="10"/>
  <c r="F23" i="10"/>
  <c r="F24" i="10" s="1"/>
  <c r="F36" i="10" s="1"/>
  <c r="H21" i="10"/>
  <c r="G9" i="10"/>
  <c r="G23" i="10"/>
  <c r="G24" i="10" s="1"/>
  <c r="C24" i="10"/>
  <c r="C36" i="10" s="1"/>
  <c r="F35" i="7"/>
  <c r="F36" i="7" s="1"/>
  <c r="E35" i="7"/>
  <c r="E36" i="7" s="1"/>
  <c r="D35" i="7"/>
  <c r="D36" i="7" s="1"/>
  <c r="C35" i="7"/>
  <c r="C36" i="7" s="1"/>
  <c r="G35" i="7"/>
  <c r="G36" i="7" s="1"/>
  <c r="G23" i="2"/>
  <c r="G37" i="2"/>
  <c r="F23" i="2"/>
  <c r="F37" i="2"/>
  <c r="E23" i="2"/>
  <c r="E37" i="2"/>
  <c r="D23" i="2"/>
  <c r="C37" i="2"/>
  <c r="C23" i="2"/>
  <c r="F38" i="16" l="1"/>
  <c r="D29" i="16"/>
  <c r="E20" i="16"/>
  <c r="C22" i="16"/>
  <c r="E22" i="16" s="1"/>
  <c r="E33" i="16"/>
  <c r="E34" i="16"/>
  <c r="D34" i="16"/>
  <c r="D33" i="16"/>
  <c r="E38" i="16" s="1"/>
  <c r="G36" i="10"/>
  <c r="C12" i="1"/>
  <c r="H15" i="14"/>
  <c r="H18" i="14" s="1"/>
  <c r="D21" i="13"/>
  <c r="D10" i="8" s="1"/>
  <c r="I26" i="7"/>
  <c r="I14" i="14"/>
  <c r="I15" i="14" s="1"/>
  <c r="I18" i="14" s="1"/>
  <c r="I19" i="14" s="1"/>
  <c r="I27" i="7"/>
  <c r="I39" i="7" s="1"/>
  <c r="J13" i="14"/>
  <c r="L28" i="7"/>
  <c r="G30" i="12"/>
  <c r="G31" i="12" s="1"/>
  <c r="G34" i="12" s="1"/>
  <c r="I25" i="14"/>
  <c r="J12" i="14"/>
  <c r="J26" i="7" s="1"/>
  <c r="E21" i="13"/>
  <c r="E10" i="8" s="1"/>
  <c r="I26" i="2"/>
  <c r="F15" i="14"/>
  <c r="F19" i="14" s="1"/>
  <c r="G15" i="14"/>
  <c r="G19" i="14" s="1"/>
  <c r="H19" i="14"/>
  <c r="H26" i="2"/>
  <c r="F31" i="12"/>
  <c r="F34" i="12" s="1"/>
  <c r="D15" i="14"/>
  <c r="D19" i="14" s="1"/>
  <c r="E15" i="14"/>
  <c r="E19" i="14" s="1"/>
  <c r="F21" i="13"/>
  <c r="F10" i="8" s="1"/>
  <c r="G21" i="13"/>
  <c r="G10" i="8" s="1"/>
  <c r="E30" i="12"/>
  <c r="E21" i="12"/>
  <c r="D30" i="12"/>
  <c r="D21" i="12"/>
  <c r="K9" i="12"/>
  <c r="I32" i="10"/>
  <c r="I15" i="2" s="1"/>
  <c r="I27" i="10"/>
  <c r="D10" i="10"/>
  <c r="D24" i="10"/>
  <c r="D36" i="10" s="1"/>
  <c r="F28" i="10"/>
  <c r="F48" i="10" s="1"/>
  <c r="F37" i="10"/>
  <c r="F35" i="10"/>
  <c r="F34" i="10"/>
  <c r="F33" i="10"/>
  <c r="G28" i="10"/>
  <c r="G48" i="10" s="1"/>
  <c r="G33" i="10"/>
  <c r="G37" i="10"/>
  <c r="G35" i="10"/>
  <c r="G34" i="10"/>
  <c r="C28" i="10"/>
  <c r="C48" i="10" s="1"/>
  <c r="C33" i="10"/>
  <c r="C37" i="10"/>
  <c r="C34" i="10"/>
  <c r="C35" i="10"/>
  <c r="F10" i="10"/>
  <c r="E10" i="10"/>
  <c r="E24" i="10"/>
  <c r="E36" i="10" s="1"/>
  <c r="I7" i="10"/>
  <c r="I20" i="10" s="1"/>
  <c r="H22" i="10"/>
  <c r="H49" i="10" s="1"/>
  <c r="I21" i="10"/>
  <c r="G10" i="10"/>
  <c r="H23" i="10"/>
  <c r="F25" i="2"/>
  <c r="F29" i="2" s="1"/>
  <c r="E25" i="2"/>
  <c r="E29" i="2" s="1"/>
  <c r="D25" i="2"/>
  <c r="D29" i="2" s="1"/>
  <c r="C25" i="2"/>
  <c r="C29" i="2" s="1"/>
  <c r="G25" i="2"/>
  <c r="G29" i="2" s="1"/>
  <c r="E23" i="16" l="1"/>
  <c r="E28" i="16"/>
  <c r="F39" i="16"/>
  <c r="F41" i="16"/>
  <c r="F40" i="16"/>
  <c r="C28" i="16"/>
  <c r="C53" i="16"/>
  <c r="C23" i="16"/>
  <c r="E39" i="16"/>
  <c r="E41" i="16"/>
  <c r="E40" i="16"/>
  <c r="E31" i="2"/>
  <c r="E39" i="2"/>
  <c r="E7" i="15" s="1"/>
  <c r="C39" i="2"/>
  <c r="C7" i="15" s="1"/>
  <c r="C31" i="2"/>
  <c r="F39" i="2"/>
  <c r="F7" i="15" s="1"/>
  <c r="F31" i="2"/>
  <c r="J27" i="7"/>
  <c r="J39" i="7" s="1"/>
  <c r="K13" i="14"/>
  <c r="I9" i="8"/>
  <c r="I15" i="8"/>
  <c r="H15" i="8"/>
  <c r="H9" i="8"/>
  <c r="J14" i="14"/>
  <c r="J15" i="14" s="1"/>
  <c r="K12" i="14"/>
  <c r="K26" i="7" s="1"/>
  <c r="J25" i="14"/>
  <c r="G38" i="10"/>
  <c r="C38" i="10"/>
  <c r="G39" i="2"/>
  <c r="G7" i="15" s="1"/>
  <c r="G31" i="2"/>
  <c r="G7" i="8" s="1"/>
  <c r="G11" i="8" s="1"/>
  <c r="E31" i="12"/>
  <c r="E34" i="12" s="1"/>
  <c r="D31" i="12"/>
  <c r="D34" i="12" s="1"/>
  <c r="F12" i="13"/>
  <c r="G12" i="13"/>
  <c r="C12" i="13"/>
  <c r="L9" i="12"/>
  <c r="D37" i="10"/>
  <c r="D15" i="10" s="1"/>
  <c r="D35" i="10"/>
  <c r="D34" i="10"/>
  <c r="D13" i="10" s="1"/>
  <c r="D33" i="10"/>
  <c r="D12" i="10" s="1"/>
  <c r="J32" i="10"/>
  <c r="J15" i="2" s="1"/>
  <c r="D28" i="10"/>
  <c r="G12" i="10"/>
  <c r="H33" i="10"/>
  <c r="G15" i="10"/>
  <c r="H37" i="10"/>
  <c r="G14" i="10"/>
  <c r="H35" i="10"/>
  <c r="G13" i="10"/>
  <c r="H34" i="10"/>
  <c r="J27" i="10"/>
  <c r="G29" i="10"/>
  <c r="F38" i="10"/>
  <c r="E28" i="10"/>
  <c r="E48" i="10" s="1"/>
  <c r="E34" i="10"/>
  <c r="E37" i="10"/>
  <c r="E35" i="10"/>
  <c r="E33" i="10"/>
  <c r="J7" i="10"/>
  <c r="J20" i="10" s="1"/>
  <c r="I22" i="10"/>
  <c r="I49" i="10" s="1"/>
  <c r="J21" i="10"/>
  <c r="I23" i="10"/>
  <c r="H24" i="10"/>
  <c r="H17" i="12" s="1"/>
  <c r="H18" i="12" s="1"/>
  <c r="H19" i="12" s="1"/>
  <c r="D39" i="2"/>
  <c r="D7" i="15" s="1"/>
  <c r="D31" i="2"/>
  <c r="D7" i="8" s="1"/>
  <c r="D11" i="8" s="1"/>
  <c r="E29" i="16" l="1"/>
  <c r="C25" i="1" s="1"/>
  <c r="C24" i="1"/>
  <c r="C81" i="16"/>
  <c r="E81" i="16"/>
  <c r="D81" i="16"/>
  <c r="C54" i="16"/>
  <c r="C56" i="16" s="1"/>
  <c r="C63" i="16"/>
  <c r="C64" i="16" s="1"/>
  <c r="C65" i="16" s="1"/>
  <c r="C66" i="16" s="1"/>
  <c r="C26" i="1" s="1"/>
  <c r="D38" i="16"/>
  <c r="C29" i="16"/>
  <c r="D14" i="10"/>
  <c r="D38" i="10"/>
  <c r="H12" i="2"/>
  <c r="E7" i="8"/>
  <c r="E11" i="8" s="1"/>
  <c r="E33" i="2"/>
  <c r="F13" i="15" s="1"/>
  <c r="E11" i="15"/>
  <c r="E38" i="2"/>
  <c r="C7" i="8"/>
  <c r="C38" i="2"/>
  <c r="C11" i="15"/>
  <c r="C33" i="2"/>
  <c r="D13" i="15" s="1"/>
  <c r="F33" i="2"/>
  <c r="F38" i="2"/>
  <c r="F7" i="8"/>
  <c r="F11" i="8" s="1"/>
  <c r="F11" i="15"/>
  <c r="D29" i="10"/>
  <c r="D48" i="10"/>
  <c r="D9" i="6" s="1"/>
  <c r="E9" i="6" s="1"/>
  <c r="K27" i="7"/>
  <c r="K39" i="7" s="1"/>
  <c r="L13" i="14"/>
  <c r="L27" i="7" s="1"/>
  <c r="I37" i="10"/>
  <c r="H18" i="2"/>
  <c r="I35" i="10"/>
  <c r="H17" i="2"/>
  <c r="I34" i="10"/>
  <c r="H16" i="2"/>
  <c r="H20" i="12"/>
  <c r="H13" i="8"/>
  <c r="H28" i="12"/>
  <c r="J18" i="14"/>
  <c r="K14" i="14"/>
  <c r="L12" i="14"/>
  <c r="L26" i="7" s="1"/>
  <c r="K25" i="14"/>
  <c r="E45" i="7"/>
  <c r="G42" i="10"/>
  <c r="G51" i="10" s="1"/>
  <c r="G39" i="10"/>
  <c r="C42" i="10"/>
  <c r="C39" i="10"/>
  <c r="C50" i="10" s="1"/>
  <c r="G11" i="15"/>
  <c r="G38" i="2"/>
  <c r="G33" i="2"/>
  <c r="G13" i="15"/>
  <c r="F45" i="7"/>
  <c r="D38" i="2"/>
  <c r="D11" i="15"/>
  <c r="D33" i="2"/>
  <c r="F17" i="13"/>
  <c r="F18" i="13"/>
  <c r="F19" i="13"/>
  <c r="G17" i="13"/>
  <c r="G18" i="13"/>
  <c r="G19" i="13"/>
  <c r="C17" i="13"/>
  <c r="C18" i="13"/>
  <c r="C19" i="13"/>
  <c r="D12" i="13"/>
  <c r="F39" i="10"/>
  <c r="F50" i="10" s="1"/>
  <c r="F42" i="10"/>
  <c r="F51" i="10" s="1"/>
  <c r="E12" i="13"/>
  <c r="K32" i="10"/>
  <c r="K15" i="2" s="1"/>
  <c r="H28" i="10"/>
  <c r="H7" i="2" s="1"/>
  <c r="H36" i="10"/>
  <c r="H38" i="10" s="1"/>
  <c r="I33" i="10"/>
  <c r="K27" i="10"/>
  <c r="E29" i="10"/>
  <c r="F29" i="10"/>
  <c r="E13" i="10"/>
  <c r="F13" i="10"/>
  <c r="E15" i="10"/>
  <c r="F15" i="10"/>
  <c r="E14" i="10"/>
  <c r="F14" i="10"/>
  <c r="E38" i="10"/>
  <c r="E12" i="10"/>
  <c r="F12" i="10"/>
  <c r="K7" i="10"/>
  <c r="K20" i="10" s="1"/>
  <c r="J23" i="10"/>
  <c r="I24" i="10"/>
  <c r="I17" i="12" s="1"/>
  <c r="I18" i="12" s="1"/>
  <c r="I19" i="12" s="1"/>
  <c r="J22" i="10"/>
  <c r="J49" i="10" s="1"/>
  <c r="K21" i="10"/>
  <c r="C82" i="16" l="1"/>
  <c r="C84" i="16" s="1"/>
  <c r="C86" i="16"/>
  <c r="C85" i="16"/>
  <c r="C97" i="16" s="1"/>
  <c r="C98" i="16" s="1"/>
  <c r="C99" i="16" s="1"/>
  <c r="E82" i="16"/>
  <c r="E84" i="16" s="1"/>
  <c r="E86" i="16"/>
  <c r="E85" i="16"/>
  <c r="E97" i="16" s="1"/>
  <c r="E98" i="16" s="1"/>
  <c r="E99" i="16" s="1"/>
  <c r="D82" i="16"/>
  <c r="D85" i="16"/>
  <c r="D97" i="16" s="1"/>
  <c r="D98" i="16" s="1"/>
  <c r="D99" i="16" s="1"/>
  <c r="C28" i="1" s="1"/>
  <c r="D86" i="16"/>
  <c r="C69" i="16"/>
  <c r="C70" i="16"/>
  <c r="D39" i="16"/>
  <c r="D41" i="16"/>
  <c r="D40" i="16"/>
  <c r="G50" i="10"/>
  <c r="C16" i="1"/>
  <c r="D39" i="10"/>
  <c r="D50" i="10" s="1"/>
  <c r="D42" i="10"/>
  <c r="I12" i="2"/>
  <c r="L39" i="7"/>
  <c r="H19" i="2"/>
  <c r="H22" i="2" s="1"/>
  <c r="C43" i="10"/>
  <c r="C51" i="10"/>
  <c r="G45" i="7"/>
  <c r="C20" i="1" s="1"/>
  <c r="H12" i="15"/>
  <c r="H18" i="8" s="1"/>
  <c r="J26" i="2"/>
  <c r="J19" i="14"/>
  <c r="I18" i="2"/>
  <c r="J37" i="10"/>
  <c r="I17" i="2"/>
  <c r="J35" i="10"/>
  <c r="I16" i="2"/>
  <c r="J34" i="10"/>
  <c r="H26" i="8"/>
  <c r="H36" i="2"/>
  <c r="H9" i="2"/>
  <c r="I28" i="12"/>
  <c r="I13" i="8"/>
  <c r="K15" i="14"/>
  <c r="L25" i="14"/>
  <c r="D17" i="6" s="1"/>
  <c r="E17" i="6" s="1"/>
  <c r="L14" i="14"/>
  <c r="L15" i="14" s="1"/>
  <c r="G43" i="10"/>
  <c r="E13" i="15"/>
  <c r="D45" i="7"/>
  <c r="G20" i="13"/>
  <c r="D17" i="13"/>
  <c r="D18" i="13"/>
  <c r="D19" i="13"/>
  <c r="F43" i="10"/>
  <c r="E17" i="13"/>
  <c r="E18" i="13"/>
  <c r="E19" i="13"/>
  <c r="C20" i="13"/>
  <c r="F20" i="13"/>
  <c r="H29" i="10"/>
  <c r="H12" i="13"/>
  <c r="H39" i="10"/>
  <c r="H42" i="10"/>
  <c r="H43" i="10" s="1"/>
  <c r="E39" i="10"/>
  <c r="E50" i="10" s="1"/>
  <c r="E42" i="10"/>
  <c r="E51" i="10" s="1"/>
  <c r="L32" i="10"/>
  <c r="L15" i="2" s="1"/>
  <c r="I28" i="10"/>
  <c r="I7" i="2" s="1"/>
  <c r="I36" i="10"/>
  <c r="I38" i="10" s="1"/>
  <c r="J33" i="10"/>
  <c r="L27" i="10"/>
  <c r="L7" i="10"/>
  <c r="K23" i="10"/>
  <c r="J24" i="10"/>
  <c r="J17" i="12" s="1"/>
  <c r="K22" i="10"/>
  <c r="K49" i="10" s="1"/>
  <c r="L21" i="10"/>
  <c r="D84" i="16" l="1"/>
  <c r="C27" i="1"/>
  <c r="L20" i="10"/>
  <c r="L22" i="10" s="1"/>
  <c r="L49" i="10" s="1"/>
  <c r="D22" i="6" s="1"/>
  <c r="E22" i="6" s="1"/>
  <c r="D11" i="1"/>
  <c r="D12" i="6"/>
  <c r="E12" i="6" s="1"/>
  <c r="D51" i="10"/>
  <c r="D10" i="6" s="1"/>
  <c r="E10" i="6" s="1"/>
  <c r="D43" i="10"/>
  <c r="I19" i="2"/>
  <c r="I22" i="2" s="1"/>
  <c r="I37" i="2" s="1"/>
  <c r="J12" i="2"/>
  <c r="C20" i="14"/>
  <c r="C21" i="14" s="1"/>
  <c r="C52" i="10"/>
  <c r="C44" i="10"/>
  <c r="J9" i="8"/>
  <c r="J15" i="8"/>
  <c r="J18" i="2"/>
  <c r="K37" i="10"/>
  <c r="J17" i="2"/>
  <c r="K35" i="10"/>
  <c r="J16" i="2"/>
  <c r="K34" i="10"/>
  <c r="D20" i="13"/>
  <c r="H23" i="2"/>
  <c r="H37" i="2"/>
  <c r="I36" i="2"/>
  <c r="I26" i="8"/>
  <c r="J18" i="12"/>
  <c r="J19" i="12" s="1"/>
  <c r="K18" i="14"/>
  <c r="L18" i="14"/>
  <c r="G44" i="10"/>
  <c r="C15" i="1" s="1"/>
  <c r="G20" i="14"/>
  <c r="G21" i="14" s="1"/>
  <c r="G52" i="10"/>
  <c r="G45" i="10"/>
  <c r="F20" i="14"/>
  <c r="F21" i="14" s="1"/>
  <c r="F52" i="10"/>
  <c r="F44" i="10"/>
  <c r="H14" i="13"/>
  <c r="H15" i="13"/>
  <c r="H13" i="13"/>
  <c r="H13" i="7" s="1"/>
  <c r="H42" i="7" s="1"/>
  <c r="H20" i="14"/>
  <c r="H21" i="14" s="1"/>
  <c r="H44" i="10"/>
  <c r="H45" i="10"/>
  <c r="E43" i="10"/>
  <c r="F45" i="10" s="1"/>
  <c r="E20" i="13"/>
  <c r="I29" i="10"/>
  <c r="I12" i="13"/>
  <c r="I39" i="10"/>
  <c r="I42" i="10"/>
  <c r="I43" i="10" s="1"/>
  <c r="J28" i="10"/>
  <c r="J7" i="2" s="1"/>
  <c r="J36" i="10"/>
  <c r="J38" i="10" s="1"/>
  <c r="K33" i="10"/>
  <c r="L23" i="10"/>
  <c r="L24" i="10" s="1"/>
  <c r="K24" i="10"/>
  <c r="K17" i="12" s="1"/>
  <c r="K19" i="12" s="1"/>
  <c r="L17" i="12" l="1"/>
  <c r="L19" i="12" s="1"/>
  <c r="D12" i="1"/>
  <c r="D20" i="14"/>
  <c r="D21" i="14" s="1"/>
  <c r="D44" i="10"/>
  <c r="D52" i="10"/>
  <c r="D45" i="10"/>
  <c r="K12" i="2"/>
  <c r="K26" i="2"/>
  <c r="K15" i="8" s="1"/>
  <c r="K19" i="14"/>
  <c r="J19" i="2"/>
  <c r="J22" i="2" s="1"/>
  <c r="J37" i="2" s="1"/>
  <c r="K9" i="8"/>
  <c r="L26" i="2"/>
  <c r="L19" i="14"/>
  <c r="K18" i="2"/>
  <c r="L37" i="10"/>
  <c r="L18" i="2" s="1"/>
  <c r="K17" i="2"/>
  <c r="L35" i="10"/>
  <c r="L17" i="2" s="1"/>
  <c r="K16" i="2"/>
  <c r="L34" i="10"/>
  <c r="L16" i="2" s="1"/>
  <c r="J28" i="12"/>
  <c r="J13" i="8"/>
  <c r="H18" i="13"/>
  <c r="H25" i="13" s="1"/>
  <c r="H12" i="7"/>
  <c r="H43" i="7" s="1"/>
  <c r="H19" i="13"/>
  <c r="H26" i="13" s="1"/>
  <c r="H29" i="7"/>
  <c r="J36" i="2"/>
  <c r="K28" i="12"/>
  <c r="K13" i="8"/>
  <c r="H16" i="13"/>
  <c r="H17" i="13"/>
  <c r="E52" i="10"/>
  <c r="E44" i="10"/>
  <c r="E45" i="10"/>
  <c r="E20" i="14"/>
  <c r="E21" i="14" s="1"/>
  <c r="I14" i="13"/>
  <c r="I15" i="13"/>
  <c r="I13" i="13"/>
  <c r="I13" i="7" s="1"/>
  <c r="I42" i="7" s="1"/>
  <c r="I44" i="10"/>
  <c r="I20" i="14"/>
  <c r="I21" i="14" s="1"/>
  <c r="I45" i="10"/>
  <c r="J29" i="10"/>
  <c r="J12" i="13"/>
  <c r="J42" i="10"/>
  <c r="J43" i="10" s="1"/>
  <c r="J39" i="10"/>
  <c r="L28" i="10"/>
  <c r="L7" i="2" s="1"/>
  <c r="D13" i="1" s="1"/>
  <c r="L36" i="10"/>
  <c r="K28" i="10"/>
  <c r="K7" i="2" s="1"/>
  <c r="K36" i="10"/>
  <c r="K38" i="10" s="1"/>
  <c r="L33" i="10"/>
  <c r="L12" i="2" s="1"/>
  <c r="D11" i="6" l="1"/>
  <c r="E11" i="6" s="1"/>
  <c r="L13" i="8"/>
  <c r="D21" i="1" s="1"/>
  <c r="L28" i="12"/>
  <c r="J26" i="8"/>
  <c r="D16" i="6"/>
  <c r="E16" i="6" s="1"/>
  <c r="L19" i="2"/>
  <c r="L22" i="2" s="1"/>
  <c r="L9" i="8"/>
  <c r="L15" i="8"/>
  <c r="H44" i="7"/>
  <c r="H33" i="7"/>
  <c r="K19" i="2"/>
  <c r="K22" i="2" s="1"/>
  <c r="K37" i="2" s="1"/>
  <c r="I18" i="13"/>
  <c r="I25" i="13" s="1"/>
  <c r="I12" i="7"/>
  <c r="I43" i="7" s="1"/>
  <c r="I19" i="13"/>
  <c r="I26" i="13" s="1"/>
  <c r="I29" i="7"/>
  <c r="L26" i="8"/>
  <c r="K26" i="8"/>
  <c r="K36" i="2"/>
  <c r="L36" i="2"/>
  <c r="H21" i="13"/>
  <c r="H10" i="8" s="1"/>
  <c r="H20" i="13"/>
  <c r="H24" i="13"/>
  <c r="I16" i="13"/>
  <c r="I21" i="13" s="1"/>
  <c r="I10" i="8" s="1"/>
  <c r="I17" i="13"/>
  <c r="J14" i="13"/>
  <c r="J15" i="13"/>
  <c r="J13" i="13"/>
  <c r="J13" i="7" s="1"/>
  <c r="J42" i="7" s="1"/>
  <c r="J44" i="10"/>
  <c r="J45" i="10"/>
  <c r="J20" i="14"/>
  <c r="J21" i="14" s="1"/>
  <c r="L29" i="10"/>
  <c r="L12" i="13"/>
  <c r="K29" i="10"/>
  <c r="K12" i="13"/>
  <c r="K39" i="10"/>
  <c r="K42" i="10"/>
  <c r="K43" i="10" s="1"/>
  <c r="L38" i="10"/>
  <c r="L37" i="2" l="1"/>
  <c r="D14" i="1"/>
  <c r="I33" i="7"/>
  <c r="I44" i="7"/>
  <c r="J18" i="13"/>
  <c r="J25" i="13" s="1"/>
  <c r="J12" i="7"/>
  <c r="J43" i="7" s="1"/>
  <c r="J19" i="13"/>
  <c r="J26" i="13" s="1"/>
  <c r="J29" i="7"/>
  <c r="I24" i="13"/>
  <c r="I20" i="13"/>
  <c r="J17" i="13"/>
  <c r="J16" i="13"/>
  <c r="L14" i="13"/>
  <c r="L15" i="13"/>
  <c r="L13" i="13"/>
  <c r="L13" i="7" s="1"/>
  <c r="L42" i="7" s="1"/>
  <c r="K14" i="13"/>
  <c r="K15" i="13"/>
  <c r="K13" i="13"/>
  <c r="K13" i="7" s="1"/>
  <c r="K42" i="7" s="1"/>
  <c r="K44" i="10"/>
  <c r="K20" i="14"/>
  <c r="K21" i="14" s="1"/>
  <c r="K45" i="10"/>
  <c r="L39" i="10"/>
  <c r="D16" i="1" s="1"/>
  <c r="L42" i="10"/>
  <c r="L43" i="10" s="1"/>
  <c r="J33" i="7" l="1"/>
  <c r="J44" i="7"/>
  <c r="L18" i="13"/>
  <c r="L25" i="13" s="1"/>
  <c r="L12" i="7"/>
  <c r="L43" i="7" s="1"/>
  <c r="L19" i="13"/>
  <c r="L26" i="13" s="1"/>
  <c r="L29" i="7"/>
  <c r="K18" i="13"/>
  <c r="K25" i="13" s="1"/>
  <c r="D14" i="6" s="1"/>
  <c r="E14" i="6" s="1"/>
  <c r="K12" i="7"/>
  <c r="K43" i="7" s="1"/>
  <c r="K19" i="13"/>
  <c r="K26" i="13" s="1"/>
  <c r="K29" i="7"/>
  <c r="J20" i="13"/>
  <c r="J24" i="13"/>
  <c r="J21" i="13"/>
  <c r="J10" i="8" s="1"/>
  <c r="L17" i="13"/>
  <c r="L16" i="13"/>
  <c r="K17" i="13"/>
  <c r="K16" i="13"/>
  <c r="L20" i="14"/>
  <c r="L21" i="14" s="1"/>
  <c r="L44" i="10"/>
  <c r="D15" i="1" s="1"/>
  <c r="L45" i="10"/>
  <c r="D15" i="6" l="1"/>
  <c r="E15" i="6" s="1"/>
  <c r="L33" i="7"/>
  <c r="L44" i="7"/>
  <c r="K33" i="7"/>
  <c r="K44" i="7"/>
  <c r="L21" i="13"/>
  <c r="L10" i="8" s="1"/>
  <c r="K21" i="13"/>
  <c r="K10" i="8" s="1"/>
  <c r="L20" i="13"/>
  <c r="L24" i="13"/>
  <c r="K24" i="13"/>
  <c r="K20" i="13"/>
  <c r="D13" i="6" l="1"/>
  <c r="E13" i="6" s="1"/>
  <c r="H22" i="12"/>
  <c r="H24" i="2" s="1"/>
  <c r="H25" i="2" l="1"/>
  <c r="H29" i="2" s="1"/>
  <c r="H30" i="2" s="1"/>
  <c r="H8" i="8"/>
  <c r="H27" i="8"/>
  <c r="H29" i="12"/>
  <c r="H30" i="12" s="1"/>
  <c r="H23" i="12" s="1"/>
  <c r="H7" i="7" s="1"/>
  <c r="H24" i="12"/>
  <c r="H31" i="2" l="1"/>
  <c r="H39" i="2"/>
  <c r="I27" i="12"/>
  <c r="I20" i="12" s="1"/>
  <c r="H34" i="12"/>
  <c r="H7" i="8" l="1"/>
  <c r="H12" i="8" s="1"/>
  <c r="H25" i="8" s="1"/>
  <c r="H38" i="2"/>
  <c r="H32" i="2"/>
  <c r="I22" i="12"/>
  <c r="H22" i="7" l="1"/>
  <c r="H33" i="2"/>
  <c r="H14" i="8"/>
  <c r="H16" i="8" s="1"/>
  <c r="H20" i="8" s="1"/>
  <c r="H22" i="8" s="1"/>
  <c r="I24" i="12"/>
  <c r="I24" i="2"/>
  <c r="I29" i="12"/>
  <c r="I30" i="12" s="1"/>
  <c r="I23" i="12" s="1"/>
  <c r="I7" i="7" s="1"/>
  <c r="H21" i="7" l="1"/>
  <c r="I12" i="15"/>
  <c r="I18" i="8" s="1"/>
  <c r="I21" i="8"/>
  <c r="H30" i="8"/>
  <c r="H14" i="7"/>
  <c r="H31" i="8" s="1"/>
  <c r="I27" i="8"/>
  <c r="I8" i="8"/>
  <c r="J27" i="12"/>
  <c r="J20" i="12" s="1"/>
  <c r="I34" i="12"/>
  <c r="H23" i="7" l="1"/>
  <c r="H35" i="7" s="1"/>
  <c r="H45" i="7"/>
  <c r="H40" i="7"/>
  <c r="H41" i="7" s="1"/>
  <c r="I8" i="2"/>
  <c r="H17" i="7"/>
  <c r="J22" i="12"/>
  <c r="H36" i="7" l="1"/>
  <c r="I23" i="2"/>
  <c r="I25" i="2" s="1"/>
  <c r="I29" i="2" s="1"/>
  <c r="I30" i="2" s="1"/>
  <c r="I9" i="2"/>
  <c r="J24" i="12"/>
  <c r="J24" i="2"/>
  <c r="J29" i="12"/>
  <c r="J30" i="12" s="1"/>
  <c r="J23" i="12" s="1"/>
  <c r="J7" i="7" s="1"/>
  <c r="I39" i="2" l="1"/>
  <c r="I31" i="2"/>
  <c r="I7" i="8" s="1"/>
  <c r="I12" i="8" s="1"/>
  <c r="I25" i="8" s="1"/>
  <c r="J27" i="8"/>
  <c r="J8" i="8"/>
  <c r="K27" i="12"/>
  <c r="K20" i="12" s="1"/>
  <c r="J34" i="12"/>
  <c r="I38" i="2" l="1"/>
  <c r="I32" i="2"/>
  <c r="I14" i="8"/>
  <c r="I16" i="8" s="1"/>
  <c r="I20" i="8" s="1"/>
  <c r="I22" i="8" s="1"/>
  <c r="K22" i="12"/>
  <c r="I33" i="2" l="1"/>
  <c r="I22" i="7"/>
  <c r="I14" i="7"/>
  <c r="I31" i="8" s="1"/>
  <c r="J21" i="8"/>
  <c r="I30" i="8"/>
  <c r="K24" i="12"/>
  <c r="K24" i="2"/>
  <c r="K29" i="12"/>
  <c r="K30" i="12" s="1"/>
  <c r="K23" i="12" s="1"/>
  <c r="K7" i="7" s="1"/>
  <c r="I21" i="7" l="1"/>
  <c r="J12" i="15"/>
  <c r="J18" i="8" s="1"/>
  <c r="J8" i="2"/>
  <c r="I40" i="7"/>
  <c r="I41" i="7" s="1"/>
  <c r="I17" i="7"/>
  <c r="K8" i="8"/>
  <c r="K27" i="8"/>
  <c r="L27" i="12"/>
  <c r="L20" i="12" s="1"/>
  <c r="K34" i="12"/>
  <c r="I45" i="7" l="1"/>
  <c r="I23" i="7"/>
  <c r="I35" i="7" s="1"/>
  <c r="J9" i="2"/>
  <c r="J23" i="2"/>
  <c r="J25" i="2" s="1"/>
  <c r="J29" i="2" s="1"/>
  <c r="L22" i="12"/>
  <c r="I36" i="7" l="1"/>
  <c r="J30" i="2"/>
  <c r="L24" i="12"/>
  <c r="L24" i="2"/>
  <c r="L29" i="12"/>
  <c r="L30" i="12" s="1"/>
  <c r="L23" i="12" s="1"/>
  <c r="J39" i="2" l="1"/>
  <c r="J31" i="2"/>
  <c r="L8" i="8"/>
  <c r="L27" i="8"/>
  <c r="L34" i="12"/>
  <c r="D8" i="6" s="1"/>
  <c r="E8" i="6" s="1"/>
  <c r="L7" i="7"/>
  <c r="J7" i="8" l="1"/>
  <c r="J12" i="8" s="1"/>
  <c r="J25" i="8" s="1"/>
  <c r="J32" i="2"/>
  <c r="J38" i="2"/>
  <c r="J14" i="8" l="1"/>
  <c r="J16" i="8" s="1"/>
  <c r="J20" i="8" s="1"/>
  <c r="J22" i="8" s="1"/>
  <c r="J22" i="7"/>
  <c r="J33" i="2"/>
  <c r="K21" i="8" l="1"/>
  <c r="J14" i="7"/>
  <c r="J31" i="8" s="1"/>
  <c r="J30" i="8"/>
  <c r="K12" i="15"/>
  <c r="K18" i="8" s="1"/>
  <c r="J21" i="7"/>
  <c r="K8" i="2" l="1"/>
  <c r="J17" i="7"/>
  <c r="J40" i="7"/>
  <c r="J41" i="7" s="1"/>
  <c r="J23" i="7"/>
  <c r="J35" i="7" s="1"/>
  <c r="J45" i="7"/>
  <c r="J36" i="7" l="1"/>
  <c r="K9" i="2"/>
  <c r="K23" i="2"/>
  <c r="K25" i="2" s="1"/>
  <c r="K29" i="2" s="1"/>
  <c r="K30" i="2" l="1"/>
  <c r="K31" i="2" l="1"/>
  <c r="K39" i="2"/>
  <c r="K32" i="2" l="1"/>
  <c r="K38" i="2"/>
  <c r="K7" i="8"/>
  <c r="K12" i="8" s="1"/>
  <c r="K25" i="8" s="1"/>
  <c r="K14" i="8" l="1"/>
  <c r="K16" i="8" s="1"/>
  <c r="K20" i="8" s="1"/>
  <c r="K22" i="8" s="1"/>
  <c r="K22" i="7"/>
  <c r="K33" i="2"/>
  <c r="K14" i="7" l="1"/>
  <c r="K31" i="8" s="1"/>
  <c r="L21" i="8"/>
  <c r="K30" i="8"/>
  <c r="L12" i="15"/>
  <c r="L18" i="8" s="1"/>
  <c r="K21" i="7"/>
  <c r="K23" i="7" l="1"/>
  <c r="K35" i="7" s="1"/>
  <c r="K45" i="7"/>
  <c r="K17" i="7"/>
  <c r="L8" i="2"/>
  <c r="K40" i="7"/>
  <c r="K41" i="7" s="1"/>
  <c r="K36" i="7" l="1"/>
  <c r="L9" i="2"/>
  <c r="L23" i="2"/>
  <c r="L25" i="2" s="1"/>
  <c r="L29" i="2" s="1"/>
  <c r="L30" i="2" l="1"/>
  <c r="L31" i="2" l="1"/>
  <c r="L38" i="2" s="1"/>
  <c r="L39" i="2"/>
  <c r="L7" i="8" l="1"/>
  <c r="L12" i="8" s="1"/>
  <c r="D18" i="1" s="1"/>
  <c r="L32" i="2"/>
  <c r="L14" i="8" l="1"/>
  <c r="L16" i="8" s="1"/>
  <c r="L20" i="8" s="1"/>
  <c r="L22" i="8" s="1"/>
  <c r="L25" i="8"/>
  <c r="L22" i="7"/>
  <c r="L33" i="2"/>
  <c r="D17" i="1" s="1"/>
  <c r="L30" i="8" l="1"/>
  <c r="D18" i="6" s="1"/>
  <c r="E18" i="6" s="1"/>
  <c r="L14" i="7"/>
  <c r="L31" i="8" s="1"/>
  <c r="D19" i="6" s="1"/>
  <c r="E19" i="6" s="1"/>
  <c r="L21" i="7"/>
  <c r="L23" i="7" l="1"/>
  <c r="L35" i="7" s="1"/>
  <c r="L45" i="7"/>
  <c r="D20" i="1" s="1"/>
  <c r="L40" i="7"/>
  <c r="L41" i="7" s="1"/>
  <c r="D19" i="1" s="1"/>
  <c r="L17" i="7"/>
  <c r="L36" i="7" l="1"/>
  <c r="D7" i="6" s="1"/>
  <c r="E7" i="6" s="1"/>
  <c r="E4" i="6" l="1"/>
  <c r="C5" i="1" s="1"/>
  <c r="C3" i="10" l="1"/>
  <c r="C3" i="12"/>
  <c r="C3" i="14"/>
  <c r="C3" i="8"/>
  <c r="C3" i="7"/>
  <c r="C3" i="2"/>
  <c r="C3" i="13"/>
  <c r="C3" i="11"/>
  <c r="C3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ankit</author>
  </authors>
  <commentList>
    <comment ref="D11" authorId="0" shapeId="0" xr:uid="{16D891FC-126D-4F43-8E38-E168B3E1D611}">
      <text>
        <r>
          <rPr>
            <b/>
            <sz val="9"/>
            <color indexed="81"/>
            <rFont val="Tahoma"/>
            <family val="2"/>
          </rPr>
          <t>ankit:</t>
        </r>
        <r>
          <rPr>
            <sz val="9"/>
            <color indexed="81"/>
            <rFont val="Tahoma"/>
            <family val="2"/>
          </rPr>
          <t xml:space="preserve">
Estimated
FY22 grey cement revenue isn’t disclosed in the documents you have. I estimated it from the FY23 deck’s 21% growth figure.</t>
        </r>
      </text>
    </comment>
  </commentList>
</comments>
</file>

<file path=xl/sharedStrings.xml><?xml version="1.0" encoding="utf-8"?>
<sst xmlns="http://schemas.openxmlformats.org/spreadsheetml/2006/main" count="727" uniqueCount="570">
  <si>
    <t>Source</t>
  </si>
  <si>
    <t>Revenue from operations</t>
  </si>
  <si>
    <t>Other income</t>
  </si>
  <si>
    <t>Total income</t>
  </si>
  <si>
    <t>Cost of materials consumed</t>
  </si>
  <si>
    <t>Purchases of stock-in-trade</t>
  </si>
  <si>
    <t>Changes in inventories</t>
  </si>
  <si>
    <t>Employee benefits expense</t>
  </si>
  <si>
    <t>Power and fuel</t>
  </si>
  <si>
    <t>Freight and forwarding</t>
  </si>
  <si>
    <t>Other expenses</t>
  </si>
  <si>
    <t>Total operating expenses</t>
  </si>
  <si>
    <t>Operating EBITDA</t>
  </si>
  <si>
    <t>EBITDA (incl. other income)</t>
  </si>
  <si>
    <t>Depreciation and amortisation</t>
  </si>
  <si>
    <t>EBIT</t>
  </si>
  <si>
    <t>Finance costs</t>
  </si>
  <si>
    <t>Profit before tax</t>
  </si>
  <si>
    <t>Tax expense</t>
  </si>
  <si>
    <t>Profit after tax</t>
  </si>
  <si>
    <t>Exceptional items</t>
  </si>
  <si>
    <t>Revenue growth %</t>
  </si>
  <si>
    <t>Operating EBITDA margin %</t>
  </si>
  <si>
    <t>PAT margin %</t>
  </si>
  <si>
    <t>Effective tax rate %</t>
  </si>
  <si>
    <t>Share of profit of associates/JVs</t>
  </si>
  <si>
    <t>PPE (incl. CWIP, ROU)</t>
  </si>
  <si>
    <t>Goodwill</t>
  </si>
  <si>
    <t>Other intangibles</t>
  </si>
  <si>
    <t>Non-current investments</t>
  </si>
  <si>
    <t>Other non-current assets</t>
  </si>
  <si>
    <t>Inventories</t>
  </si>
  <si>
    <t>Trade receivables</t>
  </si>
  <si>
    <t>Current investments</t>
  </si>
  <si>
    <t>Other current assets</t>
  </si>
  <si>
    <t>Total assets</t>
  </si>
  <si>
    <t>Share capital</t>
  </si>
  <si>
    <t>Non-controlling interest</t>
  </si>
  <si>
    <t xml:space="preserve">Total Equity </t>
  </si>
  <si>
    <t>Long-term borrowing</t>
  </si>
  <si>
    <t>Short-term borrowing</t>
  </si>
  <si>
    <t xml:space="preserve">Lease liabilities </t>
  </si>
  <si>
    <t>Trade payables</t>
  </si>
  <si>
    <t>Deferred tax liabilities</t>
  </si>
  <si>
    <t>Other non-current liabilities</t>
  </si>
  <si>
    <t>Other current liabilities</t>
  </si>
  <si>
    <t>Total liabilities</t>
  </si>
  <si>
    <t>Total equity and liabilities</t>
  </si>
  <si>
    <t>Balance check</t>
  </si>
  <si>
    <t>Gross debt</t>
  </si>
  <si>
    <t>Net debt</t>
  </si>
  <si>
    <t>Inventory days</t>
  </si>
  <si>
    <t>Receivable days</t>
  </si>
  <si>
    <t>Payable days</t>
  </si>
  <si>
    <t>Return on equity</t>
  </si>
  <si>
    <t>Other equity</t>
  </si>
  <si>
    <t>Cash &amp; bank balances</t>
  </si>
  <si>
    <t>Attributable to non-controlling interests</t>
  </si>
  <si>
    <t>PAT attributable to owners</t>
  </si>
  <si>
    <t>BS: Property, Plant &amp; Equipment + Capital Work-in-Progress (Note 2) + Right of Use Assets (Note 3A)</t>
  </si>
  <si>
    <t>BS: Goodwill (Note 2)</t>
  </si>
  <si>
    <t>BS: Other Intangible Assets + Intangible Assets under Development (Note 2)</t>
  </si>
  <si>
    <t>BS: Investments Accounted using Equity Method (Note 4) + Non-current Investments (Note 5)</t>
  </si>
  <si>
    <t>BS: Non-current Loans (Note 6) + Other Financial Assets (Note 7) + Deferred Tax Assets (Note 8) + Income Tax Assets + Other Non-Current Assets (Note 9)</t>
  </si>
  <si>
    <t>BS: Inventories (Note 10)</t>
  </si>
  <si>
    <t>BS: Trade Receivables (Note 12)</t>
  </si>
  <si>
    <t>BS: Cash and Cash Equivalents (Note 13) + Other Bank Balances (Note 14)</t>
  </si>
  <si>
    <t>BS: Current Investments (Note 11)</t>
  </si>
  <si>
    <t>BS: Current Loans (Note 6) + Other Financial Assets (Note 7) + Income Tax Assets + Other Current Assets (Note 15) + Assets Held for Sale</t>
  </si>
  <si>
    <t>Formula: Sum of assets. Ties to 'TOTAL ASSETS'</t>
  </si>
  <si>
    <t>BS: Equity Share Capital (Note 16a)</t>
  </si>
  <si>
    <t>BS: Other Equity (Note 16b). FY24/FY25 include share application money pending allotment</t>
  </si>
  <si>
    <t>BS: Non-Controlling Interest. Jumps in FY25 (India Cements minority shareholders)</t>
  </si>
  <si>
    <t>Formula: Share capital + Other equity + NCI</t>
  </si>
  <si>
    <t>BS: Non-current Borrowings (Note 17)</t>
  </si>
  <si>
    <t>BS: Current Borrowings (Note 22). Includes current maturities of long-term debt</t>
  </si>
  <si>
    <t>BS: Lease Liabilities, non-current + current (Note 3B)</t>
  </si>
  <si>
    <t>BS: Trade Payables, MSME + others (Note 23)</t>
  </si>
  <si>
    <t>BS: Deferred Tax Liabilities (Net) (Note 20)</t>
  </si>
  <si>
    <t>BS: Non-current Other Financial Liabilities (Note 18) + Provisions (Note 19) + Other Non-Current Liabilities (Note 21)</t>
  </si>
  <si>
    <t>BS: Current Other Financial Liabilities (Note 18) + Other Current Liabilities (Note 24) + Provisions (Note 19) + Current Tax Liabilities</t>
  </si>
  <si>
    <t>Formula: Sum of liabilities</t>
  </si>
  <si>
    <t>Formula: Total equity + Total liabilities. Ties to 'TOTAL EQUITY AND LIABILITIES'</t>
  </si>
  <si>
    <t>Formula: Long-term + Short-term borrowings. Excludes lease liabilities</t>
  </si>
  <si>
    <t>Formula: Net debt / EBITDA incl. other income (Hist_IS). Company reported 1.33x FY25, 0.94x FY26</t>
  </si>
  <si>
    <t>Formula: Trade receivables / Revenue from operations x 365</t>
  </si>
  <si>
    <t>Formula: Inventories / Revenue from operations x 365. Revenue basis used for forecast consistency</t>
  </si>
  <si>
    <t>Formula: Trade payables / Revenue from operations x 365. Revenue basis used for forecast consistency</t>
  </si>
  <si>
    <t>Formula: PAT to owners / Average (Share capital + Other equity). FY22 blank (no FY21)</t>
  </si>
  <si>
    <t>Capex</t>
  </si>
  <si>
    <t>Interest paid</t>
  </si>
  <si>
    <t>Free cash flow (FCF)</t>
  </si>
  <si>
    <t>FCF after interest</t>
  </si>
  <si>
    <t>Acquisition</t>
  </si>
  <si>
    <t>Dividends paid</t>
  </si>
  <si>
    <t>Net borrowings</t>
  </si>
  <si>
    <t>Cash conversion</t>
  </si>
  <si>
    <t>Capex/ revenue</t>
  </si>
  <si>
    <t>Capex/ D&amp;A</t>
  </si>
  <si>
    <t>Cash from operations (CFO)</t>
  </si>
  <si>
    <t>FY22A</t>
  </si>
  <si>
    <t>FY23A</t>
  </si>
  <si>
    <t>FY24A</t>
  </si>
  <si>
    <t>FY25A</t>
  </si>
  <si>
    <t>FY26A</t>
  </si>
  <si>
    <t>FY27E</t>
  </si>
  <si>
    <t>FY28E</t>
  </si>
  <si>
    <t>FY29E</t>
  </si>
  <si>
    <t>FY30E</t>
  </si>
  <si>
    <t>FY31E</t>
  </si>
  <si>
    <t>Domestic capacity, year-end (mtpa)</t>
  </si>
  <si>
    <t>REVENUE</t>
  </si>
  <si>
    <t>PROFITABILITY</t>
  </si>
  <si>
    <t>EQUITY</t>
  </si>
  <si>
    <t>LIABILITIES</t>
  </si>
  <si>
    <t>RATIOS</t>
  </si>
  <si>
    <t>VOLUME</t>
  </si>
  <si>
    <t>Average capacity</t>
  </si>
  <si>
    <t>Utilisation check</t>
  </si>
  <si>
    <t>Revenue per tonne (₹/t)</t>
  </si>
  <si>
    <t>Revenue (₹ Cr)</t>
  </si>
  <si>
    <t>Consolidated sales volume (mt)</t>
  </si>
  <si>
    <t>FORMULAS</t>
  </si>
  <si>
    <t>Utilisation (avg capacity)</t>
  </si>
  <si>
    <t>Realisation (₹/t)</t>
  </si>
  <si>
    <t>Operating EBITDA per tonne (₹/t)</t>
  </si>
  <si>
    <r>
      <t>Revenue per tonne (₹/t)</t>
    </r>
    <r>
      <rPr>
        <sz val="11"/>
        <color theme="1"/>
        <rFont val="Aptos Narrow"/>
        <family val="2"/>
        <scheme val="minor"/>
      </rPr>
      <t xml:space="preserve"> </t>
    </r>
  </si>
  <si>
    <t>Domestic grey volume, incl. ICL (mt)</t>
  </si>
  <si>
    <t>UltraTech grey cement revenue, excl. ICL (₹ Cr)</t>
  </si>
  <si>
    <t>HISTORICAL INPUTS</t>
  </si>
  <si>
    <t>Domestic grey volume, UltraTech only (mt)</t>
  </si>
  <si>
    <t>Domestic volume growth (%)</t>
  </si>
  <si>
    <t>Other volume growth (%)</t>
  </si>
  <si>
    <t>Revenue per tonne growth (%)</t>
  </si>
  <si>
    <t>Other volume (mt)</t>
  </si>
  <si>
    <t>FORECAST ASSUMPTIONS</t>
  </si>
  <si>
    <t>Utilisation (%)</t>
  </si>
  <si>
    <t>Average capacity (mtpa)</t>
  </si>
  <si>
    <t>Consolidated volume (mt)</t>
  </si>
  <si>
    <t>Revenue growth (%)</t>
  </si>
  <si>
    <t>CHECKS</t>
  </si>
  <si>
    <t>Capacity additions (mtpa)</t>
  </si>
  <si>
    <t>Source/ Reason</t>
  </si>
  <si>
    <t>(Opening + closing capacity) / 2. Plants start mid-year, so average reflects capacity actually available</t>
  </si>
  <si>
    <t>Hist: Ops_Data (incl. India Cements from FY25). Fcst: last year x (1 + domestic volume growth)</t>
  </si>
  <si>
    <t>Domestic volume / average capacity. Company reported ~78% FY25. Healthy range 75-85%</t>
  </si>
  <si>
    <t>Domestic + other volume. Hist ties to Ops_Data consolidated sales volume</t>
  </si>
  <si>
    <t>Hist: Ops_Data (Hist_IS revenue / consolidated volume). Fcst: last year x (1 + revenue/t growth). Blended price incl. RMC and white cement</t>
  </si>
  <si>
    <t>Consolidated volume x revenue per tonne / 10 (mt x Rs/t = Rs mn; /10 = Rs Cr)</t>
  </si>
  <si>
    <t>Revenue growth ~ volume growth + price growth (FY27: ~10% + 2% = ~12%)</t>
  </si>
  <si>
    <t>Flags utilisation above 85%: plants near full, more capacity (and capex) needed</t>
  </si>
  <si>
    <t>Hist: Ops_Data (company Q4 decks, FY22 AR). Fcst: last year + additions</t>
  </si>
  <si>
    <t>Hist: actual additions (FY25 incl. ~25 mtpa acquired: India Cements + Kesoram). FY27-28: company guidance, Q4 FY26 deck (plants under construction). FY29-31: ~8 mtpa/yr, in line with UltraTech's historical organic pace</t>
  </si>
  <si>
    <t>Hist incl. acquisitions (ICL from Dec-24), so not organic. Fcst: industry demand 7-8% FY27, 8-9% FY28 (ICRA Feb-26) + share gains; Q1 FY27 actual +13.1%. Fades to ~7% (industry rate) by FY30-31</t>
  </si>
  <si>
    <t>Hist volatile and acquisition-driven (UAE white cement subsidiary FY25); UAE ops disrupted Q1 FY27. Fcst: conservative 5%. Only ~6% of total volume, low valuation impact</t>
  </si>
  <si>
    <t>Hist: revenue/t CAGR only 0.6% FY22-26 vs ~5% inflation (industry oversupply). Fcst: 2% = some benefit from industry consolidation, capped by ~100 mtpa new industry capacity by FY28. Bear 0% / Bull 4%</t>
  </si>
  <si>
    <t>Raw materials per tonne growth</t>
  </si>
  <si>
    <t>Power &amp; fuel per tonne growth</t>
  </si>
  <si>
    <t>Freight per tonne growth</t>
  </si>
  <si>
    <t>Other expenses per tonne growth</t>
  </si>
  <si>
    <t>Employee cost growth (total ₹ Cr)</t>
  </si>
  <si>
    <t>Employee cost (₹ Cr)</t>
  </si>
  <si>
    <t xml:space="preserve">COSTS </t>
  </si>
  <si>
    <t>Raw materials per tonne (₹/t)</t>
  </si>
  <si>
    <t>Power &amp; fuel per tonne  (₹/t)</t>
  </si>
  <si>
    <t>Freight per tonne  (₹/t)</t>
  </si>
  <si>
    <t>Employee per tonne  (₹/t)</t>
  </si>
  <si>
    <t>Other expenses per tonne  (₹/t)</t>
  </si>
  <si>
    <t>Total cost per tonne  (₹/t)</t>
  </si>
  <si>
    <t>Operating EBITDA per tonne  (₹/t)</t>
  </si>
  <si>
    <t>Total operating costs (₹ Cr)</t>
  </si>
  <si>
    <t>Operating EBITDA (₹ Cr)</t>
  </si>
  <si>
    <t>Operating EBITDA margin (%)</t>
  </si>
  <si>
    <t>EBITDA growth (%)</t>
  </si>
  <si>
    <t>EBITDA</t>
  </si>
  <si>
    <t>Hist: actual Rs/t growth (Hist_IS). FY22-26 CAGR ~7% incl. mix shift (more blended cement, RMC, traded goods). Fcst 5%: ~inflation, mix shift slowing. Biggest driver of margin squeeze FY26-31</t>
  </si>
  <si>
    <t>Hist: FY23 +35% = Russia-Ukraine coal/petcoke spike, then normalised. FY27 +4%: West Asia fuel spike in Q1 (Ramco P&amp;F/t +8.5%, Shree EBITDA/t -25%), easing from Q2. FY28 0%: prices normalise + green power (47% at Q1 FY27). FY29+ 2%: green power/WHRS offset inflation. Sensitivity: +$10/t imported fuel = -Rs60-70/t EBITDA</t>
  </si>
  <si>
    <t>Hist: ~flat (CAGR -0.1%) despite diesel inflation, due to lower lead distance, more rail, bulk terminals. FY27 2%: diesel price hikes (JK Cement Q1 FY27 call). FY28+ 1%: efficiency offsets most inflation</t>
  </si>
  <si>
    <t>Hist: ~flat to +2%/yr (packing, stores &amp; spares = variable; admin = fixed). Fcst 3%: slightly below inflation</t>
  </si>
  <si>
    <t>Hist: total growth 8-11% organic (FY23-24); FY25-26 inflated by acquisitions. Fcst 8%: wage inflation + staff for new plants. Grown in total (fixed cost) so Rs/t falls as volume grows = operating leverage</t>
  </si>
  <si>
    <t>Hist: Hist_IS employee benefits expense. Fcst: last year x (1 + employee cost growth). Fixed cost, forecast in total</t>
  </si>
  <si>
    <t>(Cost of materials + Purchases of stock-in-trade + Change in inventories) x 10 / consolidated volume. Fcst: last year x (1 + growth)</t>
  </si>
  <si>
    <t>Power &amp; fuel x 10 / consolidated volume. Fcst: last year x (1 + growth)</t>
  </si>
  <si>
    <t>Freight &amp; forwarding x 10 / consolidated volume. Fcst: last year x (1 + growth)</t>
  </si>
  <si>
    <t>Employee cost (Rs Cr) x 10 / consolidated volume. Same formula all years. Falls when volume growth &gt; 8% (operating leverage)</t>
  </si>
  <si>
    <t>Other expenses x 10 / consolidated volume. Fcst: last year x (1 + growth)</t>
  </si>
  <si>
    <t>Sum of five costs per tonne</t>
  </si>
  <si>
    <t>Total cost per tonne x consolidated volume / 10. Ties to Hist_IS total operating expenses</t>
  </si>
  <si>
    <t>Operating EBITDA / Revenue. Falls 19.2% (FY26) to 16.9% (FY31): price +2%/yr vs costs ~2.6%/yr</t>
  </si>
  <si>
    <t>FY27 low (6.3%) due to Q1 fuel spike; FY28 rebound (11.3%) as fuel normalises; then fades with volume growth</t>
  </si>
  <si>
    <t xml:space="preserve">Capex (₹ Cr) </t>
  </si>
  <si>
    <t>Depreciation &amp; amortisation (₹ Cr)</t>
  </si>
  <si>
    <t>PPE, closing (₹ Cr)</t>
  </si>
  <si>
    <t>Capex / D&amp;A (x)</t>
  </si>
  <si>
    <t>Expected closing PPE</t>
  </si>
  <si>
    <t>Other movements</t>
  </si>
  <si>
    <t>CAPEX &amp; DEPRECIATION</t>
  </si>
  <si>
    <t>PPE ROLL-FORWARD</t>
  </si>
  <si>
    <t>Opening PPE</t>
  </si>
  <si>
    <t>+ Capex</t>
  </si>
  <si>
    <t>− D&amp;A</t>
  </si>
  <si>
    <t>INPUT</t>
  </si>
  <si>
    <t>Capex guidance (₹ Cr)</t>
  </si>
  <si>
    <t>Cost per mtpa of new capacity (₹ Cr)</t>
  </si>
  <si>
    <t>Maintenance capex per tonne (₹/t)</t>
  </si>
  <si>
    <t>Maintenance capex (₹ Cr)</t>
  </si>
  <si>
    <t>Maintenance capex per tonne growth (%)</t>
  </si>
  <si>
    <t>Growth capex (₹ Cr)</t>
  </si>
  <si>
    <t>Depreciation rate (%)</t>
  </si>
  <si>
    <t>Share of capex depreciated in year 1 (%)</t>
  </si>
  <si>
    <t>Other PPE movements (₹ Cr)</t>
  </si>
  <si>
    <t>Depreciation base (₹ Cr)</t>
  </si>
  <si>
    <t>PPE roll-forward check</t>
  </si>
  <si>
    <t>FY27-29: mgmt guidance ~Rs10,000 Cr/yr (Q2 FY26 call); CRISIL ~Rs30,000 Cr FY27-29 (rating rationale, Aug-26). FY30-31 blank: no guidance, driver-based</t>
  </si>
  <si>
    <t>Rs600 Cr/mtpa: CRISIL Rs30,000 Cr for ~37 mtpa less maintenance. Cross-check: UltraTech Phase IV Rs10,255 Cr for 22.8 mtpa (~Rs450 Cr/mtpa). Used for FY30-31 only</t>
  </si>
  <si>
    <t>Analyst estimate (not disclosed): ~half of FY26 D&amp;A per tonne (Rs301/t). Common rule of thumb for a young asset base</t>
  </si>
  <si>
    <t>5%: maintenance cost grows with inflation</t>
  </si>
  <si>
    <t>5.3%: FY26 actual D&amp;A / (opening PPE + 50% capex). FY25 (6.4%) excluded: D&amp;A included acquired plants not in opening PPE</t>
  </si>
  <si>
    <t>50%: capex spent through the year, so on average in service for half the year. Avoids circularity of depreciating average PPE</t>
  </si>
  <si>
    <t>0: no acquisitions assumed. Historical spike FY25 (+Rs20,100 Cr) = India Cements + Kesoram</t>
  </si>
  <si>
    <t>Link: Ops_Forecast capacity additions. FY25 (42.6) includes ~26 mtpa acquired</t>
  </si>
  <si>
    <t>Volume (Ops_Forecast) x maintenance capex/t / 10. Not disclosed historically, so history blank</t>
  </si>
  <si>
    <t>Hist: Hist_CF purchase of PPE (positive here). Fcst: maintenance + growth. Falls after FY29 as expansion completes</t>
  </si>
  <si>
    <t>Opening PPE + 50% x capex. Replaces average PPE to avoid circular reference</t>
  </si>
  <si>
    <t>Hist: D&amp;A / depreciation base. Fcst: input (5.3%)</t>
  </si>
  <si>
    <t>Hist: Hist_IS. Fcst: depreciation base x rate. Rises as new plants are commissioned (non-cash)</t>
  </si>
  <si>
    <t>Hist: Hist_BS (PPE incl. CWIP, ROU). Fcst: expected closing + other movements</t>
  </si>
  <si>
    <t>Capex / D&amp;A. Above 1x = growing asset base; falls 2.1x to 1.5x as expansion matures</t>
  </si>
  <si>
    <t>Previous year's closing PPE</t>
  </si>
  <si>
    <t>Capex row</t>
  </si>
  <si>
    <t>D&amp;A row (negative)</t>
  </si>
  <si>
    <t>WORKING CAPITAL</t>
  </si>
  <si>
    <t>Trade receivables (₹ Cr)</t>
  </si>
  <si>
    <t>Inventories (₹ Cr)</t>
  </si>
  <si>
    <t>Trade payables (₹ Cr)</t>
  </si>
  <si>
    <t>Trade working capital (₹ Cr)</t>
  </si>
  <si>
    <t>Working capital days</t>
  </si>
  <si>
    <t>(Increase) / decrease in working capital (₹ Cr)</t>
  </si>
  <si>
    <t>Receivable days difference</t>
  </si>
  <si>
    <t>Hist 21-22 pre-acquisition; 28.3 FY25 (ICL acquired with weak collections; year-end balances vs part-year revenue); improving to 24.9 FY26 as ICL moves to UltraTech terms. Fcst: 24 to 22, back to pre-acquisition norm</t>
  </si>
  <si>
    <t>Hist 38-43; FY25 46 acquisition-distorted (excluded). Fcst 40: FY26 actual and ~5-yr average. Cement can't be stored long</t>
  </si>
  <si>
    <t>Hist 41-45, steady. Fcst 42: FY26 actual. Suppliers fund most of inventory</t>
  </si>
  <si>
    <t>Link: Ops_Forecast revenue (all 10 years)</t>
  </si>
  <si>
    <t>Hist: Hist_BS. Fcst: receivable days x revenue / 365</t>
  </si>
  <si>
    <t>Hist: Hist_BS. Fcst: inventory days x revenue / 365</t>
  </si>
  <si>
    <t>Hist: Hist_BS. Fcst: payable days x revenue / 365</t>
  </si>
  <si>
    <t>Receivables / revenue x 365 (revenue basis, consistent with forecast)</t>
  </si>
  <si>
    <t>Inventories / revenue x 365 (revenue basis, consistent with forecast)</t>
  </si>
  <si>
    <t>Payables / revenue x 365 (revenue basis, consistent with forecast)</t>
  </si>
  <si>
    <t>DEBT</t>
  </si>
  <si>
    <t>Long-term borrowings (₹ Cr)</t>
  </si>
  <si>
    <t>Short-term borrowings (₹ Cr)</t>
  </si>
  <si>
    <t>Gross debt (₹ Cr)</t>
  </si>
  <si>
    <t>Average gross debt (₹ Cr)</t>
  </si>
  <si>
    <t>Finance costs (₹ Cr)</t>
  </si>
  <si>
    <t>Effective interest rate (%)</t>
  </si>
  <si>
    <t>Interest cover (x)</t>
  </si>
  <si>
    <t>INTEREST</t>
  </si>
  <si>
    <t>New borrowings (₹ Cr)</t>
  </si>
  <si>
    <t>Debt repayment (₹ Cr)</t>
  </si>
  <si>
    <t>Interest rate on average debt (%)</t>
  </si>
  <si>
    <t>0: no acquisitions assumed; capex funded from operating cash flow</t>
  </si>
  <si>
    <t>FY27 0: capex peak (Rs10,000 Cr) + Q1 fuel spike, maturities refinanced. FY28-31 rising: deleveraging as capex falls and EBITDA grows (CRISIL Aug-26: net debt/EBITDA below 1x). TO TEST on Day 11: year-end cash must stay positive</t>
  </si>
  <si>
    <t>8.0%: FY26 all-in effective rate 8.2% (incl. lease interest, unwinding, other charges). AAA-rated; India Cements debt refinanced ~3.8 ppt cheaper after takeover</t>
  </si>
  <si>
    <t>Hist: Hist_BS. Fcst: held flat (working-capital lines rolled over)</t>
  </si>
  <si>
    <t>Long-term + short-term. Excludes lease liabilities. FY25 jump = acquisition funding (net borrowing Rs8,859 Cr) + debt of acquired companies</t>
  </si>
  <si>
    <t>(Opening + closing) / 2. No circularity: closing debt driven by repayment input, not by cash</t>
  </si>
  <si>
    <t>Hist: Hist_IS. Fcst: interest rate x average gross debt</t>
  </si>
  <si>
    <t>Finance costs / average gross debt. Hist 8-10% (all-in; FY25 incl. expensive India Cements debt)</t>
  </si>
  <si>
    <t>Link: Ops_Forecast</t>
  </si>
  <si>
    <t>Operating EBITDA / finance costs. Above ~5-6x = strong (AAA rating)</t>
  </si>
  <si>
    <t>Long-term borrowings cannot go below zero</t>
  </si>
  <si>
    <t>Interest rate check</t>
  </si>
  <si>
    <t>Debt not negative</t>
  </si>
  <si>
    <t>Tax rate (%)</t>
  </si>
  <si>
    <t>Other income yield (%)</t>
  </si>
  <si>
    <t>Exceptional items (₹ Cr)</t>
  </si>
  <si>
    <t>Share of associates/JVs (₹ Cr)</t>
  </si>
  <si>
    <t>NCI share of PAT (%)</t>
  </si>
  <si>
    <t>Dividends paid (₹ Cr)</t>
  </si>
  <si>
    <t>Dividend payout (%)</t>
  </si>
  <si>
    <t>25.2%: India new-regime corporate tax (22% + 10% surcharge + 4% cess = 25.17%). FY26 actual 25.1%. FY22 one-off reversal, FY23 old regime, FY25 acquisition-year distortion</t>
  </si>
  <si>
    <t>7.5% x opening (cash &amp; bank + current inv. + non-current inv.). Hist 7.3-8.5%; low end as rates have eased. Opening balance avoids circularity</t>
  </si>
  <si>
    <t>0: one-offs not forecast (FY24-26: stamp duty on business combination, impairment, new labour codes)</t>
  </si>
  <si>
    <t>0: small and volatile</t>
  </si>
  <si>
    <t>0.3%: FY26 actual (first full year with India Cements' ~24% minority). Would rise if ICL turnaround succeeds</t>
  </si>
  <si>
    <t>Hist: Hist_CF (positive). Fcst: payout x last year's PAT to owners (paid in following year)</t>
  </si>
  <si>
    <t>Dividends paid / last year's PAT to owners. Rising 15% to 38% as expansion is funded from cash flow. 35% = near latest, no further rise assumed</t>
  </si>
  <si>
    <t>Hist: AR consol. P&amp;L (Note 25). Fcst: Ops_Forecast revenue (volume x revenue/t)</t>
  </si>
  <si>
    <t>Hist: AR (Note 26), interest &amp; treasury income. Fcst: yield (Fin_Inputs) x last year's cash &amp; bank + current inv. + non-current inv.</t>
  </si>
  <si>
    <t>Revenue + other income</t>
  </si>
  <si>
    <t>Hist: AR (Note 27). Fcst: raw materials Rs/t x volume / 10 (Ops_Forecast). Includes purchases and inventory change</t>
  </si>
  <si>
    <t>Hist: AR (Note 28). Fcst: 0, included in cost of materials consumed</t>
  </si>
  <si>
    <t>Hist: AR (Note 29), sign as reported. Fcst: 0, included in cost of materials consumed</t>
  </si>
  <si>
    <t>Hist: AR (Note 30). Fcst: Ops_Forecast employee cost (fixed, +8%/yr)</t>
  </si>
  <si>
    <t>Hist: AR P&amp;L. Fcst: power &amp; fuel Rs/t x volume / 10 (Ops_Forecast)</t>
  </si>
  <si>
    <t>Hist: AR (Note 33). Fcst: freight Rs/t x volume / 10 (Ops_Forecast)</t>
  </si>
  <si>
    <t>Hist: AR (Note 34). Fcst: other expenses Rs/t x volume / 10 (Ops_Forecast)</t>
  </si>
  <si>
    <t>Sum of operating expenses. Fcst ties to Ops_Forecast total operating costs (check)</t>
  </si>
  <si>
    <t>Operating EBITDA + other income. Ties to company-reported EBITDA (hist)</t>
  </si>
  <si>
    <t>Hist: AR (Note 32). Fcst: Capex_DA (5.3% x opening PPE + 50% capex)</t>
  </si>
  <si>
    <t>Hist: AR (Note 31). Fcst: Debt sheet (8.0% x average gross debt)</t>
  </si>
  <si>
    <t>Hist: AR (FY24-26 stamp duty, impairment, labour codes). Fcst: 0, one-offs not forecast</t>
  </si>
  <si>
    <t>Hist: AR. Fcst: 0</t>
  </si>
  <si>
    <t>Hist: AR. FY22 incl. Rs305 Cr reversal. Fcst: 25.2% x PBT (new-regime statutory rate)</t>
  </si>
  <si>
    <t>Hist: AR. Fcst: 0.3% x PAT (FY26 actual; India Cements minority)</t>
  </si>
  <si>
    <t>Operating EBITDA / revenue. Falls 19.2% to 16.9% (price +2% vs costs ~2.6%)</t>
  </si>
  <si>
    <t>PAT / revenue. Rises as finance costs fall</t>
  </si>
  <si>
    <t>Tax / PBT. Fcst = 25.2% input</t>
  </si>
  <si>
    <t>Depreciation &amp; amortisation</t>
  </si>
  <si>
    <t>(Increase)/decrease in working capital</t>
  </si>
  <si>
    <t>Other operating items</t>
  </si>
  <si>
    <t>Net change in cash</t>
  </si>
  <si>
    <t>Opening cash</t>
  </si>
  <si>
    <t>Closing cash</t>
  </si>
  <si>
    <t>CASH FLOW</t>
  </si>
  <si>
    <t>OPERATING EXPENSES</t>
  </si>
  <si>
    <t>ASSETS</t>
  </si>
  <si>
    <t>EBITDA vs EBITDA_IS</t>
  </si>
  <si>
    <t>Total costs vs Costs_IS</t>
  </si>
  <si>
    <t>Revenue vs Revenue_IS</t>
  </si>
  <si>
    <t>EBITDA/t vs EBITDA/t_Ops_Data</t>
  </si>
  <si>
    <t>Balance sheet balances</t>
  </si>
  <si>
    <t>Revenue ties to IS</t>
  </si>
  <si>
    <t>EBITDA ties to IS</t>
  </si>
  <si>
    <t>PPE roll-forward</t>
  </si>
  <si>
    <t>Closing cash not negative</t>
  </si>
  <si>
    <t>Utilisation trigger</t>
  </si>
  <si>
    <t>FY21A</t>
  </si>
  <si>
    <t>Net debt / EBITDA</t>
  </si>
  <si>
    <t>MODEL CHECKS</t>
  </si>
  <si>
    <t>MODEL STATUS</t>
  </si>
  <si>
    <t>Total costs tie to IS</t>
  </si>
  <si>
    <t>EBITDA/t ties to Ops_Data</t>
  </si>
  <si>
    <t>Receivable days match input</t>
  </si>
  <si>
    <t>Interest rate matches input</t>
  </si>
  <si>
    <t>Long-term debt not negative</t>
  </si>
  <si>
    <t>BS</t>
  </si>
  <si>
    <t>Capex_DA</t>
  </si>
  <si>
    <t>Ops_Forecast</t>
  </si>
  <si>
    <t>WC</t>
  </si>
  <si>
    <t>Debt</t>
  </si>
  <si>
    <t>CF</t>
  </si>
  <si>
    <t>Closing cash vs BS cash</t>
  </si>
  <si>
    <r>
      <t>CF cash = BS cash</t>
    </r>
    <r>
      <rPr>
        <sz val="11"/>
        <color theme="1"/>
        <rFont val="Aptos Narrow"/>
        <family val="2"/>
        <scheme val="minor"/>
      </rPr>
      <t xml:space="preserve"> </t>
    </r>
  </si>
  <si>
    <t>INCOME STATEMENT</t>
  </si>
  <si>
    <t>BALANCE SHEET</t>
  </si>
  <si>
    <t>CASH FLOW STATEMENT</t>
  </si>
  <si>
    <t>OPERATIONAL DATA</t>
  </si>
  <si>
    <t>OPERATIONAL FORECAST</t>
  </si>
  <si>
    <t xml:space="preserve">WORKING CAPITAL </t>
  </si>
  <si>
    <t xml:space="preserve">CAPITAL EXPENDITURE </t>
  </si>
  <si>
    <t>FINANCIAL INPUTS</t>
  </si>
  <si>
    <t>WARNINGS</t>
  </si>
  <si>
    <t xml:space="preserve">Utilisation above trigger </t>
  </si>
  <si>
    <t>CHECK NAME</t>
  </si>
  <si>
    <t>SHEET</t>
  </si>
  <si>
    <t>RESULT</t>
  </si>
  <si>
    <t>STATUS</t>
  </si>
  <si>
    <t>Model status:</t>
  </si>
  <si>
    <t>Sources</t>
  </si>
  <si>
    <t>Domestic capacity, year-end (mtpa) — Q4 investor presentation of each year (capacity slide); FY21 from Q4 FY21 presentation</t>
  </si>
  <si>
    <t>Domestic grey volume, UltraTech only (mt) — Q4 investor presentations; FY25–26 exclude India Cements volumes</t>
  </si>
  <si>
    <t>Domestic grey volume, incl. ICL (mt) — Q4 investor presentations; same as UltraTech-only before ICL consolidation (Dec 2024)</t>
  </si>
  <si>
    <t>Consolidated sales volume (mt) — Q4 investor presentations (incl. white cement and overseas)</t>
  </si>
  <si>
    <t>UltraTech grey cement revenue, excl. ICL (₹ Cr) — Q4 investor presentations</t>
  </si>
  <si>
    <t>Average capacity — Calc: (opening + closing capacity) ÷ 2</t>
  </si>
  <si>
    <t>Utilisation (avg capacity) — Calc: volume incl. ICL ÷ average capacity (capacity also includes ICL)</t>
  </si>
  <si>
    <t>Realisation (₹/t) — Calc: grey revenue excl. ICL ÷ UltraTech-only volume × 10</t>
  </si>
  <si>
    <t>Revenue per tonne (₹/t) — Calc: IS revenue ÷ consolidated volume × 10</t>
  </si>
  <si>
    <t>Operating EBITDA per tonne (₹/t) — Calc: IS operating EBITDA ÷ consolidated volume × 10</t>
  </si>
  <si>
    <t>Profit after tax — Link: IS PAT (total, incl. NCI share)</t>
  </si>
  <si>
    <t>Depreciation &amp; amortisation — Link: IS; non-cash, added back</t>
  </si>
  <si>
    <t>Finance costs — Link: IS; added back here because interest paid is shown separately below</t>
  </si>
  <si>
    <t>(Increase)/decrease in working capital — Link: WC sheet; FY22 not computable (no FY21 balance sheet), included in other items</t>
  </si>
  <si>
    <t>Other operating items — Hist: plug = reported CFO − rows above (tax paid vs expense, other non-cash items, other WC items); Forecast: assumed 0</t>
  </si>
  <si>
    <t>Cash from operations (CFO) — Hist: consolidated cash flow statement, AR FY22 p.286, AR FY24 p.374 (incl. FY23), AR FY26 p.466 (incl. FY25); Forecast: sum of rows above</t>
  </si>
  <si>
    <t>Capex — Hist: CF statement, purchase of PPE &amp; intangibles (investing activities); Forecast: Capex_DA sheet</t>
  </si>
  <si>
    <t>Free cash flow (FCF) — Calc: CFO − capex</t>
  </si>
  <si>
    <t>Interest paid — Hist: CF statement, financing activities; Forecast: = IS finance costs (assumed paid in the same year)</t>
  </si>
  <si>
    <t>FCF after interest — Calc: FCF − interest paid</t>
  </si>
  <si>
    <t>Acquisition — Hist: CF statement, acquisition of subsidiaries (FY25 = India Cements); Forecast: 0, no further acquisitions assumed</t>
  </si>
  <si>
    <t>Dividends paid — Hist: CF statement, financing activities; Forecast: Fin_Inputs (35% of prior-year PAT to owners)</t>
  </si>
  <si>
    <t>Net borrowings — Hist: CF statement, proceeds − repayment of borrowings; Forecast: Debt sheet (new borrowings − repayment)</t>
  </si>
  <si>
    <t>Net change in cash — Calc (forecast only): FCF after interest + acquisitions + dividends + net borrowings; other investing/financing items assumed 0</t>
  </si>
  <si>
    <t>Opening cash — FY27E: BS FY26A cash; later years: prior-year closing cash</t>
  </si>
  <si>
    <t>Closing cash — Calc: opening cash + net change; feeds BS cash</t>
  </si>
  <si>
    <t>Cash conversion — Calc: CFO ÷ operating EBITDA</t>
  </si>
  <si>
    <t>Capex / revenue — Calc: capex intensity</t>
  </si>
  <si>
    <t>Capex / D&amp;A — Calc: above 1x means the asset base is growing</t>
  </si>
  <si>
    <t>Closing cash not negative — Check: flags a funding gap in any forecast year</t>
  </si>
  <si>
    <t>Closing cash vs BS cash — Check: CF closing cash must equal BS cash</t>
  </si>
  <si>
    <t>UltraTech Cement Ltd – Integrated Financial Model</t>
  </si>
  <si>
    <t>Three-statement model, FY22A–FY31E · ₹ Crore unless stated</t>
  </si>
  <si>
    <t>Prepared by: Ankit Jandial · October 2026</t>
  </si>
  <si>
    <t>PROJECT QUESTION</t>
  </si>
  <si>
    <t>Did UltraTech overpay for its South India expansion (India Cements, Kesoram), and what is the stock worth today?</t>
  </si>
  <si>
    <t>KEY OUTPUTS</t>
  </si>
  <si>
    <t>Capacity (mtpa)</t>
  </si>
  <si>
    <t>PAT to owners (₹ Cr)</t>
  </si>
  <si>
    <t>Cash from operations (₹ Cr)</t>
  </si>
  <si>
    <t>Net debt / EBITDA (x)</t>
  </si>
  <si>
    <t>Return on equity (%)</t>
  </si>
  <si>
    <t>Total capex FY27E–FY31E (₹ Cr)</t>
  </si>
  <si>
    <t>SHEET INDEX</t>
  </si>
  <si>
    <t>What it does</t>
  </si>
  <si>
    <t>IS</t>
  </si>
  <si>
    <t>Ops_Data</t>
  </si>
  <si>
    <t>Fin_Inputs</t>
  </si>
  <si>
    <t>Check</t>
  </si>
  <si>
    <t>Income statement, history + forecast</t>
  </si>
  <si>
    <t>Balance sheet; balance check</t>
  </si>
  <si>
    <t>Cash flow (indirect); cash roll-forward</t>
  </si>
  <si>
    <t>Historical operating data from investor decks</t>
  </si>
  <si>
    <t>Revenue and cost drivers: capacity → volume → ₹/t</t>
  </si>
  <si>
    <t>Capex, depreciation and PPE roll-forward</t>
  </si>
  <si>
    <t>Receivable, inventory and payable days</t>
  </si>
  <si>
    <t>Borrowings, repayment and interest</t>
  </si>
  <si>
    <t>Tax, other income, NCI and dividend assumptions</t>
  </si>
  <si>
    <t>All model integrity checks</t>
  </si>
  <si>
    <t>COLOUR CODE</t>
  </si>
  <si>
    <t>Typed input / historical data</t>
  </si>
  <si>
    <t>Formula (same sheet)</t>
  </si>
  <si>
    <t>Link from another sheet</t>
  </si>
  <si>
    <t>Blue</t>
  </si>
  <si>
    <t>Black</t>
  </si>
  <si>
    <t>Green</t>
  </si>
  <si>
    <t>Inventory days difference</t>
  </si>
  <si>
    <t>Payable days difference</t>
  </si>
  <si>
    <t>Inventory days match input</t>
  </si>
  <si>
    <t>Payable days match input</t>
  </si>
  <si>
    <t>total operating expenses. Excludes other income</t>
  </si>
  <si>
    <t>D&amp;A</t>
  </si>
  <si>
    <t>finance costs + exceptional items + associates</t>
  </si>
  <si>
    <t>tax. FY22 = continuing operations only</t>
  </si>
  <si>
    <t>NCI. Ties to 'Profit attributable to Owners of the Parent'</t>
  </si>
  <si>
    <t>1. FY25 inflated by Kesoram restatement</t>
  </si>
  <si>
    <t>Total equity and liabilities, 0). Must be 0</t>
  </si>
  <si>
    <t>Current investments. Company reports lower (counts more liquid investments as cash)</t>
  </si>
  <si>
    <t>domestic grey volume (white cement, overseas, exports). Fcst: last year x (1 + other volume growth)</t>
  </si>
  <si>
    <t>Total cost/t. Ties to Ops_Data. Base case stays above CRISIL's Rs1,050/t floor (Rating rationale, Jul-26)</t>
  </si>
  <si>
    <t>Total operating costs. Excludes other income (non-operating; added back on the forecast income statement)</t>
  </si>
  <si>
    <t>Hist_IS revenue. Must be 0 in all actual years (proves the engine rebuilds audited revenue)</t>
  </si>
  <si>
    <t>Ops_Data EBITDA/t. Must be 0 in all actual years</t>
  </si>
  <si>
    <t>Hist_IS total operating expenses. Must be 0 (rounded)</t>
  </si>
  <si>
    <t>Hist_IS operating EBITDA. Must be 0 (rounded). Proves engine rebuilds audited EBITDA</t>
  </si>
  <si>
    <t>maintenance; else additions x cost per mtpa</t>
  </si>
  <si>
    <t>expected (FY25 +Rs20,100 Cr = acquisitions). Fcst: link to input (0)</t>
  </si>
  <si>
    <t>other movements, 0). Must be 0 in all years</t>
  </si>
  <si>
    <t>payables. ~6% of revenue: low for a manufacturer</t>
  </si>
  <si>
    <t>payable days. 1 day = ~Rs270 Cr (FY27)</t>
  </si>
  <si>
    <t>this year WC. Negative = cash outflow. FY25 (1,996) includes balances acquired with ICL (paid via acquisition, not operations). Feeds cash flow statement</t>
  </si>
  <si>
    <t>input, 1). Must be 0: balances reflect assumptions</t>
  </si>
  <si>
    <t>repayment</t>
  </si>
  <si>
    <t>input, 3). Must be 0</t>
  </si>
  <si>
    <t>ACQUISITION ANALYSIS</t>
  </si>
  <si>
    <r>
      <t>Price paid for India Cements and Kesoram vs new-build cost; return test</t>
    </r>
    <r>
      <rPr>
        <sz val="11"/>
        <color theme="1"/>
        <rFont val="Aptos Narrow"/>
        <family val="2"/>
        <scheme val="minor"/>
      </rPr>
      <t>.</t>
    </r>
  </si>
  <si>
    <t>Step</t>
  </si>
  <si>
    <t>Stake(%)</t>
  </si>
  <si>
    <t>Price per share (₹)</t>
  </si>
  <si>
    <t>Shares bought (Cr)</t>
  </si>
  <si>
    <t>Cost (₹ Cr)</t>
  </si>
  <si>
    <t>Market purchase, Jun 2024</t>
  </si>
  <si>
    <t>From promoters, Jul 2024</t>
  </si>
  <si>
    <t>Open offer, Dec 2024</t>
  </si>
  <si>
    <t>Total</t>
  </si>
  <si>
    <t>INDIA CEMENTS – STAKE PURCHASE</t>
  </si>
  <si>
    <t>Shares outstanding (Cr)</t>
  </si>
  <si>
    <t>Average price paid per share (₹)</t>
  </si>
  <si>
    <t>DEAL VALUATION</t>
  </si>
  <si>
    <t>India Cements</t>
  </si>
  <si>
    <t>Kesoram</t>
  </si>
  <si>
    <t>Capacity acquired (mtpa)</t>
  </si>
  <si>
    <t>Deal price per share (₹)</t>
  </si>
  <si>
    <t>Equity value, 100% (₹ Cr)</t>
  </si>
  <si>
    <t>Net debt taken over (₹ Cr)</t>
  </si>
  <si>
    <t>Enterprise value (₹ Cr)</t>
  </si>
  <si>
    <t>EV per mtpa (₹ Cr/mtpa)</t>
  </si>
  <si>
    <t>India Cements 14.45 mtpa (UltraTech press release on acquisition, Dec 2024); Kesoram 10.75 mtpa (UltraTech scheme of arrangement announcement, Nov 2023)</t>
  </si>
  <si>
    <t>59,74,301 UltraTech shares issued (1 for every 52 Kesoram shares), valued at announcement</t>
  </si>
  <si>
    <t>ICL standalone BS Mar-24 (₹2,587 Cr) less loans recovered (₹890 Cr) and investments sold (₹374 Cr), per ICL AR FY25 cash flow; Kesoram debt taken over per scheme announcement</t>
  </si>
  <si>
    <t>Combined</t>
  </si>
  <si>
    <t>BUY VS BUILD</t>
  </si>
  <si>
    <t>UltraTech new-build cost (₹ Cr/mtpa)</t>
  </si>
  <si>
    <t>Cost to build same capacity (₹ Cr)</t>
  </si>
  <si>
    <t>Extra paid vs building (₹ Cr)</t>
  </si>
  <si>
    <t>Premium vs building (%)</t>
  </si>
  <si>
    <t>Link: Capex_DA. ~₹600 Cr/mtpa, based on UltraTech’s recent expansion cost per mtpa (Phase III/IV brownfield ~₹450–600 Cr/mtpa).</t>
  </si>
  <si>
    <t>INDIA CEMENTS – EV PER MTPA RANGE</t>
  </si>
  <si>
    <t>Adjusted (loans &amp; investments recovered)</t>
  </si>
  <si>
    <t>Headline (Mar-24 balance sheet)</t>
  </si>
  <si>
    <t>Net debt (₹ Cr)</t>
  </si>
  <si>
    <t>PREMIUM VS BUILDING – SENSITIVITY</t>
  </si>
  <si>
    <t>Build cost (₹ Cr/mtpa)</t>
  </si>
  <si>
    <t>India Cements (main)</t>
  </si>
  <si>
    <t>India Cements (lowest)</t>
  </si>
  <si>
    <t>EV per mtpa</t>
  </si>
  <si>
    <t>Brownfield (expand existing plant)</t>
  </si>
  <si>
    <t>Model assumption</t>
  </si>
  <si>
    <t>CRISIL industry estimate</t>
  </si>
  <si>
    <t>ndia Cements standalone BS, 31 Mar 2024 (gross debt 2,601 less cash 15)</t>
  </si>
  <si>
    <t>Brownfield expansion cost, lower bound</t>
  </si>
  <si>
    <t>CRISIL: ~₹30,000 Cr for ~37 mtpa (FY27–29)</t>
  </si>
  <si>
    <t>INDIA CEMENTS – RETURN TODAY (FY26)</t>
  </si>
  <si>
    <t>Sales volume (mt)</t>
  </si>
  <si>
    <t>EBITDA per tonne (₹/t)</t>
  </si>
  <si>
    <t>EBIT (₹ Cr)</t>
  </si>
  <si>
    <t>NOPAT (₹ Cr)</t>
  </si>
  <si>
    <t>Planned capex: expansion &amp; modernisation (₹ Cr)</t>
  </si>
  <si>
    <t>Capital invested (₹ Cr)</t>
  </si>
  <si>
    <t>ROIC (%)</t>
  </si>
  <si>
    <t>Hurdle rate: WACC (%)</t>
  </si>
  <si>
    <t>ROIC minus WACC (%)</t>
  </si>
  <si>
    <t>India Cements AR FY26, MD&amp;A – Business Performance: cement &amp; clinker sales 104.50 lakh tonnes = 10.45 mt</t>
  </si>
  <si>
    <t>India Cements AR FY26, Directors' Report (p.13): PBIDT ₹494.23 Cr less other income ₹96.28 Cr = ₹398 Cr (excludes other income, same definition as UltraTech operating EBITDA)</t>
  </si>
  <si>
    <t>India Cements AR FY26, Directors' Report (p.13): depreciation/amortisation ₹299.12 Cr; also Standalone P&amp;L (p.109), Note 33</t>
  </si>
  <si>
    <t>Link: Fin_Inputs FY27E tax rate (UltraTech's rate assumed, since ICL is now its subsidiary)</t>
  </si>
  <si>
    <t>India Cements AR FY26, Directors' Report – Expansion/Modernization: ₹2,014 Cr over two years = ₹440 Cr expansion (14.75 → 17.55 mtpa) + ₹1,574 Cr modernisation</t>
  </si>
  <si>
    <t>INDIA CEMENTS – WHAT IT NEEDS TO EARN</t>
  </si>
  <si>
    <t>Capacity after expansion (mtpa)</t>
  </si>
  <si>
    <t>Mature utilisation (%)</t>
  </si>
  <si>
    <t>Mature sales volume (mt)</t>
  </si>
  <si>
    <t>D&amp;A after expansion (₹ Cr)</t>
  </si>
  <si>
    <t>Required NOPAT (₹ Cr)</t>
  </si>
  <si>
    <t>Required EBIT (₹ Cr)</t>
  </si>
  <si>
    <t>Required EBITDA (₹ Cr)</t>
  </si>
  <si>
    <t>Required EBITDA per tonne (₹/t)</t>
  </si>
  <si>
    <t>UltraTech FY26 EBITDA per tonne (₹/t)</t>
  </si>
  <si>
    <t>Required ÷ UltraTech (x)</t>
  </si>
  <si>
    <t>Required ÷ India Cements today (x)</t>
  </si>
  <si>
    <t>India Cements AR FY26, Directors' Report – expansion from 14.75 to 17.55 mtpa</t>
  </si>
  <si>
    <t>Assumption: sustainable utilisation; UltraTech ran 77–84% over FY23–26 (Ops_Data); model flags &gt;85%</t>
  </si>
  <si>
    <t>Link: Ops_Forecast FY26A operating EBITDA per tonne</t>
  </si>
  <si>
    <t>INDIA CEMENTS – TURNAROUND SCENARIOS (MATURE YEAR)</t>
  </si>
  <si>
    <t>Bear</t>
  </si>
  <si>
    <t>Base</t>
  </si>
  <si>
    <t>Bull</t>
  </si>
  <si>
    <t>EBITDA (₹ Cr)</t>
  </si>
  <si>
    <t>D&amp;A (₹ Cr)</t>
  </si>
  <si>
    <t>WACC (%)</t>
  </si>
  <si>
    <t>ROIC − WACC (%)</t>
  </si>
  <si>
    <t>Economic profit (₹ Cr per year)</t>
  </si>
  <si>
    <t>Capital invested ÷ EBITDA (x)</t>
  </si>
  <si>
    <t>Assumptions. Bear = partial turnaround (~2x FY26 EBITDA/t); Base = ~85% of UltraTech FY26 EBITDA/t; Bull = UltraTech FY26 level (₹1,104/t) at 85% utilisation</t>
  </si>
  <si>
    <t>Link: capital invested  from rows above</t>
  </si>
  <si>
    <t>Link:  WACC from rows above</t>
  </si>
  <si>
    <t>WHAT WOULD MAKE IT WORTH IT? (SOUTH PRICING TEST)</t>
  </si>
  <si>
    <t>UltraTech South capacity, FY26 (mtpa)</t>
  </si>
  <si>
    <t>Less: India Cements capacity (mtpa)</t>
  </si>
  <si>
    <t>Other South capacity (mtpa)</t>
  </si>
  <si>
    <t>UltraTech utilisation, FY26 (%)</t>
  </si>
  <si>
    <t>Other South sales volume (mt)</t>
  </si>
  <si>
    <t>UltraTech realisation, FY26 (₹/t)</t>
  </si>
  <si>
    <t>Pre-tax profit gap (₹ Cr per year)</t>
  </si>
  <si>
    <t>Price rise needed on other South volume (₹/t)</t>
  </si>
  <si>
    <t>Price rise as % of realisation</t>
  </si>
  <si>
    <t>Pager / UltraTech Q4 FY26 investor presentation: South capacity 50.5 mtpa (incl. India Cements and Kesoram)</t>
  </si>
  <si>
    <t>Link: India Cements capacity acquired</t>
  </si>
  <si>
    <t>Link: Ops_Data FY26 utilisation (UltraTech-wide, used as proxy for South)</t>
  </si>
  <si>
    <t>Link: Ops_Data FY26 realisation</t>
  </si>
  <si>
    <t>VERDICT</t>
  </si>
  <si>
    <t>1. India Cements cost ₹928 Cr/mtpa, 55% above UltraTech's own ₹600 Cr/mtpa build cost (₹4,739 Cr premium). Kesoram, at ₹707 Cr/mtpa, was fairly priced: 18% above UltraTech's cost but below the industry's.</t>
  </si>
  <si>
    <t>2. At FY26 profits India Cements earns 0.5% ROIC; it needs ₹1,978/t EBITDA (1.8x UltraTech's own) to earn its 11.5% cost of capital.</t>
  </si>
  <si>
    <t>3. Even a full turnaround to UltraTech-level profitability gives only ~6% ROIC; the base case falls ~₹1,080 Cr a year short of the cost of capital.</t>
  </si>
  <si>
    <t>4. Closing the gap through stronger South pricing would need UltraTech's other South plants to charge 8–10% more, permanently, which is unlikely with ~100 mtpa of new industry capacity coming by FY28.</t>
  </si>
  <si>
    <t>5. Conclusion: UltraTech overpaid for India Cements in financial terms. It bought speed and South market share, but not enough value to justify the price.</t>
  </si>
  <si>
    <t>ACQUISITION TEST</t>
  </si>
  <si>
    <t>India Cements EV per mtpa (₹ Cr)</t>
  </si>
  <si>
    <t>Base-case ROIC (%)</t>
  </si>
  <si>
    <t>Price rise needed in South, base case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</si>
</sst>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&quot;-&quot;"/>
    <numFmt numFmtId="165" formatCode="0.0%"/>
    <numFmt numFmtId="166" formatCode="#,##0.0;\(#,##0.0\);&quot;-&quot;"/>
    <numFmt numFmtId="167" formatCode="#,##0.00;\(#,##0.00\);&quot;-&quot;"/>
    <numFmt numFmtId="168" formatCode="0.0&quot;x&quot;"/>
    <numFmt numFmtId="175" formatCode="&quot;₹&quot;0"/>
  </numFmts>
  <fonts count="1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"/>
    </font>
    <font>
      <sz val="10"/>
      <color theme="3" tint="0.249977111117893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i/>
      <sz val="9"/>
      <color rgb="FF59595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theme="6" tint="0.39997558519241921"/>
      <name val="Arial"/>
      <family val="2"/>
    </font>
    <font>
      <sz val="11"/>
      <color theme="3" tint="0.249977111117893"/>
      <name val="Aptos Narrow"/>
      <family val="2"/>
      <scheme val="minor"/>
    </font>
    <font>
      <b/>
      <sz val="14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3" tint="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9" fontId="5" fillId="0" borderId="0" applyFont="0" applyFill="0" applyBorder="0" applyAlignment="0" applyProtection="0"/>
    <xf numFmtId="0" fontId="5" fillId="4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119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3" fillId="0" borderId="0" xfId="0" applyNumberFormat="1" applyFont="1"/>
    <xf numFmtId="0" fontId="4" fillId="0" borderId="0" xfId="0" applyFont="1"/>
    <xf numFmtId="165" fontId="1" fillId="0" borderId="0" xfId="2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166" fontId="1" fillId="0" borderId="0" xfId="0" applyNumberFormat="1" applyFont="1"/>
    <xf numFmtId="167" fontId="1" fillId="0" borderId="0" xfId="0" applyNumberFormat="1" applyFo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9" fontId="1" fillId="0" borderId="0" xfId="2" applyFont="1"/>
    <xf numFmtId="168" fontId="1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0" fontId="1" fillId="0" borderId="0" xfId="0" applyFont="1" applyAlignment="1">
      <alignment wrapText="1"/>
    </xf>
    <xf numFmtId="164" fontId="3" fillId="3" borderId="0" xfId="0" applyNumberFormat="1" applyFont="1" applyFill="1"/>
    <xf numFmtId="164" fontId="1" fillId="3" borderId="0" xfId="0" applyNumberFormat="1" applyFont="1" applyFill="1"/>
    <xf numFmtId="164" fontId="3" fillId="3" borderId="2" xfId="0" applyNumberFormat="1" applyFont="1" applyFill="1" applyBorder="1"/>
    <xf numFmtId="164" fontId="1" fillId="3" borderId="3" xfId="0" applyNumberFormat="1" applyFont="1" applyFill="1" applyBorder="1"/>
    <xf numFmtId="164" fontId="9" fillId="0" borderId="0" xfId="0" applyNumberFormat="1" applyFont="1"/>
    <xf numFmtId="166" fontId="10" fillId="0" borderId="0" xfId="0" applyNumberFormat="1" applyFont="1"/>
    <xf numFmtId="167" fontId="10" fillId="0" borderId="0" xfId="0" applyNumberFormat="1" applyFont="1"/>
    <xf numFmtId="164" fontId="10" fillId="0" borderId="0" xfId="0" applyNumberFormat="1" applyFont="1"/>
    <xf numFmtId="167" fontId="9" fillId="3" borderId="3" xfId="0" applyNumberFormat="1" applyFont="1" applyFill="1" applyBorder="1"/>
    <xf numFmtId="167" fontId="9" fillId="3" borderId="0" xfId="0" applyNumberFormat="1" applyFont="1" applyFill="1"/>
    <xf numFmtId="166" fontId="1" fillId="3" borderId="0" xfId="0" applyNumberFormat="1" applyFont="1" applyFill="1"/>
    <xf numFmtId="166" fontId="9" fillId="3" borderId="2" xfId="0" applyNumberFormat="1" applyFont="1" applyFill="1" applyBorder="1"/>
    <xf numFmtId="166" fontId="9" fillId="3" borderId="0" xfId="0" applyNumberFormat="1" applyFont="1" applyFill="1"/>
    <xf numFmtId="167" fontId="9" fillId="3" borderId="2" xfId="0" applyNumberFormat="1" applyFont="1" applyFill="1" applyBorder="1"/>
    <xf numFmtId="166" fontId="1" fillId="3" borderId="3" xfId="0" applyNumberFormat="1" applyFont="1" applyFill="1" applyBorder="1"/>
    <xf numFmtId="166" fontId="9" fillId="0" borderId="0" xfId="0" applyNumberFormat="1" applyFont="1"/>
    <xf numFmtId="166" fontId="9" fillId="3" borderId="4" xfId="0" applyNumberFormat="1" applyFont="1" applyFill="1" applyBorder="1"/>
    <xf numFmtId="166" fontId="3" fillId="3" borderId="3" xfId="2" applyNumberFormat="1" applyFont="1" applyFill="1" applyBorder="1"/>
    <xf numFmtId="166" fontId="3" fillId="3" borderId="0" xfId="2" applyNumberFormat="1" applyFont="1" applyFill="1" applyBorder="1"/>
    <xf numFmtId="164" fontId="9" fillId="3" borderId="0" xfId="0" applyNumberFormat="1" applyFont="1" applyFill="1"/>
    <xf numFmtId="164" fontId="9" fillId="3" borderId="2" xfId="0" applyNumberFormat="1" applyFont="1" applyFill="1" applyBorder="1"/>
    <xf numFmtId="164" fontId="9" fillId="3" borderId="4" xfId="0" applyNumberFormat="1" applyFont="1" applyFill="1" applyBorder="1"/>
    <xf numFmtId="164" fontId="9" fillId="3" borderId="3" xfId="0" applyNumberFormat="1" applyFont="1" applyFill="1" applyBorder="1"/>
    <xf numFmtId="165" fontId="3" fillId="3" borderId="0" xfId="2" applyNumberFormat="1" applyFont="1" applyFill="1"/>
    <xf numFmtId="165" fontId="9" fillId="3" borderId="0" xfId="2" applyNumberFormat="1" applyFont="1" applyFill="1"/>
    <xf numFmtId="165" fontId="3" fillId="3" borderId="3" xfId="2" applyNumberFormat="1" applyFont="1" applyFill="1" applyBorder="1"/>
    <xf numFmtId="165" fontId="9" fillId="3" borderId="3" xfId="2" applyNumberFormat="1" applyFont="1" applyFill="1" applyBorder="1"/>
    <xf numFmtId="165" fontId="3" fillId="3" borderId="0" xfId="2" applyNumberFormat="1" applyFont="1" applyFill="1" applyBorder="1"/>
    <xf numFmtId="164" fontId="1" fillId="3" borderId="3" xfId="0" applyNumberFormat="1" applyFont="1" applyFill="1" applyBorder="1" applyAlignment="1">
      <alignment horizontal="right"/>
    </xf>
    <xf numFmtId="167" fontId="9" fillId="3" borderId="4" xfId="0" applyNumberFormat="1" applyFont="1" applyFill="1" applyBorder="1"/>
    <xf numFmtId="164" fontId="1" fillId="3" borderId="2" xfId="0" applyNumberFormat="1" applyFont="1" applyFill="1" applyBorder="1"/>
    <xf numFmtId="164" fontId="1" fillId="3" borderId="4" xfId="0" applyNumberFormat="1" applyFont="1" applyFill="1" applyBorder="1"/>
    <xf numFmtId="165" fontId="9" fillId="0" borderId="0" xfId="2" applyNumberFormat="1" applyFont="1" applyFill="1" applyBorder="1"/>
    <xf numFmtId="165" fontId="9" fillId="0" borderId="0" xfId="2" applyNumberFormat="1" applyFont="1" applyFill="1"/>
    <xf numFmtId="165" fontId="9" fillId="0" borderId="0" xfId="2" applyNumberFormat="1" applyFont="1"/>
    <xf numFmtId="165" fontId="1" fillId="3" borderId="0" xfId="2" applyNumberFormat="1" applyFont="1" applyFill="1"/>
    <xf numFmtId="165" fontId="1" fillId="3" borderId="3" xfId="2" applyNumberFormat="1" applyFont="1" applyFill="1" applyBorder="1"/>
    <xf numFmtId="164" fontId="3" fillId="3" borderId="3" xfId="0" applyNumberFormat="1" applyFont="1" applyFill="1" applyBorder="1"/>
    <xf numFmtId="166" fontId="9" fillId="3" borderId="3" xfId="0" applyNumberFormat="1" applyFont="1" applyFill="1" applyBorder="1"/>
    <xf numFmtId="166" fontId="10" fillId="3" borderId="3" xfId="0" applyNumberFormat="1" applyFont="1" applyFill="1" applyBorder="1"/>
    <xf numFmtId="166" fontId="10" fillId="3" borderId="0" xfId="0" applyNumberFormat="1" applyFont="1" applyFill="1"/>
    <xf numFmtId="164" fontId="10" fillId="3" borderId="0" xfId="0" applyNumberFormat="1" applyFont="1" applyFill="1"/>
    <xf numFmtId="164" fontId="10" fillId="3" borderId="3" xfId="0" applyNumberFormat="1" applyFont="1" applyFill="1" applyBorder="1"/>
    <xf numFmtId="165" fontId="10" fillId="0" borderId="0" xfId="2" applyNumberFormat="1" applyFont="1"/>
    <xf numFmtId="165" fontId="9" fillId="3" borderId="0" xfId="2" applyNumberFormat="1" applyFont="1" applyFill="1" applyBorder="1"/>
    <xf numFmtId="168" fontId="1" fillId="3" borderId="3" xfId="0" applyNumberFormat="1" applyFont="1" applyFill="1" applyBorder="1"/>
    <xf numFmtId="168" fontId="1" fillId="3" borderId="0" xfId="0" applyNumberFormat="1" applyFont="1" applyFill="1"/>
    <xf numFmtId="164" fontId="9" fillId="3" borderId="3" xfId="2" applyNumberFormat="1" applyFont="1" applyFill="1" applyBorder="1"/>
    <xf numFmtId="164" fontId="9" fillId="3" borderId="0" xfId="2" applyNumberFormat="1" applyFont="1" applyFill="1" applyBorder="1"/>
    <xf numFmtId="164" fontId="10" fillId="3" borderId="2" xfId="0" applyNumberFormat="1" applyFont="1" applyFill="1" applyBorder="1"/>
    <xf numFmtId="166" fontId="3" fillId="3" borderId="2" xfId="0" applyNumberFormat="1" applyFont="1" applyFill="1" applyBorder="1"/>
    <xf numFmtId="166" fontId="3" fillId="3" borderId="0" xfId="0" applyNumberFormat="1" applyFont="1" applyFill="1"/>
    <xf numFmtId="166" fontId="3" fillId="3" borderId="3" xfId="0" applyNumberFormat="1" applyFont="1" applyFill="1" applyBorder="1"/>
    <xf numFmtId="165" fontId="3" fillId="3" borderId="2" xfId="2" applyNumberFormat="1" applyFont="1" applyFill="1" applyBorder="1"/>
    <xf numFmtId="165" fontId="3" fillId="3" borderId="4" xfId="2" applyNumberFormat="1" applyFont="1" applyFill="1" applyBorder="1"/>
    <xf numFmtId="0" fontId="11" fillId="0" borderId="0" xfId="0" applyFont="1" applyAlignment="1">
      <alignment vertical="center" wrapText="1"/>
    </xf>
    <xf numFmtId="9" fontId="1" fillId="3" borderId="0" xfId="2" applyFont="1" applyFill="1"/>
    <xf numFmtId="9" fontId="1" fillId="3" borderId="2" xfId="2" applyFont="1" applyFill="1" applyBorder="1"/>
    <xf numFmtId="167" fontId="1" fillId="3" borderId="0" xfId="0" applyNumberFormat="1" applyFont="1" applyFill="1"/>
    <xf numFmtId="167" fontId="1" fillId="3" borderId="3" xfId="0" applyNumberFormat="1" applyFont="1" applyFill="1" applyBorder="1"/>
    <xf numFmtId="9" fontId="3" fillId="3" borderId="3" xfId="2" applyFont="1" applyFill="1" applyBorder="1"/>
    <xf numFmtId="9" fontId="3" fillId="3" borderId="0" xfId="2" applyFont="1" applyFill="1"/>
    <xf numFmtId="164" fontId="1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left" indent="2"/>
    </xf>
    <xf numFmtId="0" fontId="4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4" fillId="2" borderId="1" xfId="0" applyFont="1" applyFill="1" applyBorder="1"/>
    <xf numFmtId="0" fontId="1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right"/>
    </xf>
    <xf numFmtId="165" fontId="3" fillId="0" borderId="0" xfId="2" applyNumberFormat="1" applyFont="1" applyFill="1" applyBorder="1"/>
    <xf numFmtId="166" fontId="0" fillId="3" borderId="0" xfId="0" applyNumberFormat="1" applyFill="1"/>
    <xf numFmtId="166" fontId="0" fillId="3" borderId="3" xfId="0" applyNumberFormat="1" applyFill="1" applyBorder="1"/>
    <xf numFmtId="165" fontId="10" fillId="0" borderId="0" xfId="2" applyNumberFormat="1" applyFont="1" applyBorder="1"/>
    <xf numFmtId="0" fontId="14" fillId="0" borderId="0" xfId="4" applyFont="1"/>
    <xf numFmtId="0" fontId="14" fillId="0" borderId="0" xfId="4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12" fillId="5" borderId="1" xfId="3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10" fontId="3" fillId="0" borderId="0" xfId="2" applyNumberFormat="1" applyFont="1"/>
    <xf numFmtId="167" fontId="9" fillId="0" borderId="0" xfId="0" applyNumberFormat="1" applyFont="1"/>
    <xf numFmtId="0" fontId="1" fillId="0" borderId="4" xfId="0" applyFont="1" applyBorder="1"/>
    <xf numFmtId="10" fontId="9" fillId="0" borderId="4" xfId="2" applyNumberFormat="1" applyFont="1" applyBorder="1"/>
    <xf numFmtId="164" fontId="9" fillId="0" borderId="4" xfId="0" applyNumberFormat="1" applyFont="1" applyBorder="1"/>
    <xf numFmtId="167" fontId="9" fillId="0" borderId="4" xfId="0" applyNumberFormat="1" applyFont="1" applyBorder="1"/>
    <xf numFmtId="0" fontId="1" fillId="0" borderId="0" xfId="0" applyFont="1" applyBorder="1"/>
    <xf numFmtId="10" fontId="9" fillId="0" borderId="0" xfId="2" applyNumberFormat="1" applyFont="1" applyBorder="1"/>
    <xf numFmtId="164" fontId="9" fillId="0" borderId="0" xfId="0" applyNumberFormat="1" applyFont="1" applyBorder="1"/>
    <xf numFmtId="167" fontId="9" fillId="0" borderId="0" xfId="0" applyNumberFormat="1" applyFont="1" applyBorder="1"/>
    <xf numFmtId="0" fontId="4" fillId="0" borderId="0" xfId="0" applyFont="1" applyAlignment="1">
      <alignment horizontal="right"/>
    </xf>
    <xf numFmtId="164" fontId="0" fillId="0" borderId="0" xfId="0" applyNumberFormat="1"/>
    <xf numFmtId="175" fontId="1" fillId="0" borderId="0" xfId="0" applyNumberFormat="1" applyFont="1"/>
    <xf numFmtId="165" fontId="3" fillId="0" borderId="0" xfId="2" applyNumberFormat="1" applyFont="1"/>
    <xf numFmtId="9" fontId="3" fillId="0" borderId="0" xfId="2" applyNumberFormat="1" applyFont="1"/>
    <xf numFmtId="0" fontId="1" fillId="0" borderId="4" xfId="0" applyFont="1" applyBorder="1" applyAlignment="1">
      <alignment horizontal="left" wrapText="1"/>
    </xf>
    <xf numFmtId="0" fontId="4" fillId="2" borderId="4" xfId="0" applyFont="1" applyFill="1" applyBorder="1" applyAlignment="1">
      <alignment horizontal="center"/>
    </xf>
    <xf numFmtId="0" fontId="1" fillId="0" borderId="0" xfId="0" applyFont="1" applyBorder="1" applyAlignment="1">
      <alignment horizontal="left" wrapText="1"/>
    </xf>
  </cellXfs>
  <cellStyles count="5">
    <cellStyle name="60% - Accent2" xfId="3" builtinId="36"/>
    <cellStyle name="Hyperlink" xfId="4" builtinId="8"/>
    <cellStyle name="Normal" xfId="0" builtinId="0"/>
    <cellStyle name="Normal 2" xfId="1" xr:uid="{8109B8AD-2971-4864-8105-1ADB8974EB10}"/>
    <cellStyle name="Percent" xfId="2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EA42-2D54-4C07-8CF0-C8A3D6F2E656}">
  <sheetPr>
    <tabColor theme="5" tint="0.39997558519241921"/>
  </sheetPr>
  <dimension ref="B2:I46"/>
  <sheetViews>
    <sheetView showGridLines="0" tabSelected="1" zoomScale="80" zoomScaleNormal="80" workbookViewId="0"/>
  </sheetViews>
  <sheetFormatPr defaultRowHeight="15" x14ac:dyDescent="0.25"/>
  <cols>
    <col min="1" max="1" width="2.7109375" customWidth="1"/>
    <col min="2" max="2" width="37.7109375" bestFit="1" customWidth="1"/>
    <col min="3" max="3" width="48" customWidth="1"/>
    <col min="4" max="4" width="24.28515625" bestFit="1" customWidth="1"/>
  </cols>
  <sheetData>
    <row r="2" spans="2:4" ht="18" x14ac:dyDescent="0.25">
      <c r="B2" s="95" t="s">
        <v>392</v>
      </c>
      <c r="C2" s="95"/>
      <c r="D2" s="95"/>
    </row>
    <row r="3" spans="2:4" x14ac:dyDescent="0.25">
      <c r="B3" s="96" t="s">
        <v>393</v>
      </c>
      <c r="C3" s="96"/>
      <c r="D3" s="96"/>
    </row>
    <row r="4" spans="2:4" x14ac:dyDescent="0.25">
      <c r="B4" s="97" t="s">
        <v>394</v>
      </c>
      <c r="C4" s="97"/>
      <c r="D4" s="97"/>
    </row>
    <row r="5" spans="2:4" x14ac:dyDescent="0.25">
      <c r="B5" s="1" t="s">
        <v>359</v>
      </c>
      <c r="C5" s="83" t="str">
        <f>Check!E4</f>
        <v>MODEL OK</v>
      </c>
    </row>
    <row r="7" spans="2:4" x14ac:dyDescent="0.25">
      <c r="B7" s="84" t="s">
        <v>395</v>
      </c>
      <c r="C7" s="84"/>
      <c r="D7" s="84"/>
    </row>
    <row r="8" spans="2:4" x14ac:dyDescent="0.25">
      <c r="B8" s="96" t="s">
        <v>396</v>
      </c>
      <c r="C8" s="96"/>
      <c r="D8" s="96"/>
    </row>
    <row r="10" spans="2:4" x14ac:dyDescent="0.25">
      <c r="B10" s="84" t="s">
        <v>397</v>
      </c>
      <c r="C10" s="87" t="s">
        <v>104</v>
      </c>
      <c r="D10" s="87" t="s">
        <v>109</v>
      </c>
    </row>
    <row r="11" spans="2:4" x14ac:dyDescent="0.25">
      <c r="B11" s="12" t="s">
        <v>398</v>
      </c>
      <c r="C11" s="23">
        <f>Ops_Forecast!G7</f>
        <v>191.4</v>
      </c>
      <c r="D11" s="23">
        <f>Ops_Forecast!L7</f>
        <v>261.10000000000002</v>
      </c>
    </row>
    <row r="12" spans="2:4" x14ac:dyDescent="0.25">
      <c r="B12" s="12" t="s">
        <v>138</v>
      </c>
      <c r="C12" s="23">
        <f>Ops_Forecast!G24</f>
        <v>154.25</v>
      </c>
      <c r="D12" s="23">
        <f>Ops_Forecast!L24</f>
        <v>226.77592111312504</v>
      </c>
    </row>
    <row r="13" spans="2:4" x14ac:dyDescent="0.25">
      <c r="B13" s="12" t="s">
        <v>120</v>
      </c>
      <c r="C13" s="25">
        <f>IS!G7</f>
        <v>88511.53</v>
      </c>
      <c r="D13" s="25">
        <f>IS!L7</f>
        <v>143672.11124218878</v>
      </c>
    </row>
    <row r="14" spans="2:4" x14ac:dyDescent="0.25">
      <c r="B14" s="12" t="s">
        <v>171</v>
      </c>
      <c r="C14" s="25">
        <f>IS!G22</f>
        <v>17021.53</v>
      </c>
      <c r="D14" s="25">
        <f>IS!L22</f>
        <v>24210.047730996623</v>
      </c>
    </row>
    <row r="15" spans="2:4" x14ac:dyDescent="0.25">
      <c r="B15" s="12" t="s">
        <v>172</v>
      </c>
      <c r="C15" s="91">
        <f>Ops_Forecast!G44</f>
        <v>0.19230861787159254</v>
      </c>
      <c r="D15" s="91">
        <f>Ops_Forecast!L44</f>
        <v>0.16850902740745308</v>
      </c>
    </row>
    <row r="16" spans="2:4" x14ac:dyDescent="0.25">
      <c r="B16" s="12" t="s">
        <v>125</v>
      </c>
      <c r="C16" s="25">
        <f>Ops_Forecast!G39</f>
        <v>1103.5027552674228</v>
      </c>
      <c r="D16" s="25">
        <f>Ops_Forecast!L39</f>
        <v>1067.5757643122824</v>
      </c>
    </row>
    <row r="17" spans="2:4" x14ac:dyDescent="0.25">
      <c r="B17" s="12" t="s">
        <v>399</v>
      </c>
      <c r="C17" s="25">
        <f>IS!G33</f>
        <v>8166.329999999999</v>
      </c>
      <c r="D17" s="25">
        <f>IS!L33</f>
        <v>13524.909196392531</v>
      </c>
    </row>
    <row r="18" spans="2:4" x14ac:dyDescent="0.25">
      <c r="B18" s="12" t="s">
        <v>400</v>
      </c>
      <c r="C18" s="25">
        <f>CF!G12</f>
        <v>15316</v>
      </c>
      <c r="D18" s="25">
        <f>CF!L12</f>
        <v>19725.370136991092</v>
      </c>
    </row>
    <row r="19" spans="2:4" x14ac:dyDescent="0.25">
      <c r="B19" s="12" t="s">
        <v>401</v>
      </c>
      <c r="C19" s="24">
        <f>BS!G41</f>
        <v>1.0375683032018861</v>
      </c>
      <c r="D19" s="24">
        <f>BS!L41</f>
        <v>5.9034798343811611E-2</v>
      </c>
    </row>
    <row r="20" spans="2:4" x14ac:dyDescent="0.25">
      <c r="B20" s="12" t="s">
        <v>402</v>
      </c>
      <c r="C20" s="91">
        <f>BS!G45</f>
        <v>0.11085691402352525</v>
      </c>
      <c r="D20" s="91">
        <f>BS!L45</f>
        <v>0.1223510341488968</v>
      </c>
    </row>
    <row r="21" spans="2:4" x14ac:dyDescent="0.25">
      <c r="B21" s="12" t="s">
        <v>403</v>
      </c>
      <c r="C21" s="91"/>
      <c r="D21" s="25">
        <f>-SUM(CF!H13:L13)</f>
        <v>47418.570100677462</v>
      </c>
    </row>
    <row r="22" spans="2:4" x14ac:dyDescent="0.25">
      <c r="B22" s="12"/>
      <c r="C22" s="91"/>
      <c r="D22" s="25"/>
    </row>
    <row r="23" spans="2:4" x14ac:dyDescent="0.25">
      <c r="B23" s="84" t="s">
        <v>566</v>
      </c>
      <c r="C23" s="84"/>
      <c r="D23" s="84"/>
    </row>
    <row r="24" spans="2:4" x14ac:dyDescent="0.25">
      <c r="B24" s="12" t="s">
        <v>567</v>
      </c>
      <c r="C24" s="25">
        <f>Acquisition!E23</f>
        <v>833.72979365079368</v>
      </c>
      <c r="D24" s="25"/>
    </row>
    <row r="25" spans="2:4" x14ac:dyDescent="0.25">
      <c r="B25" s="12" t="s">
        <v>486</v>
      </c>
      <c r="C25" s="91">
        <f>Acquisition!E29</f>
        <v>0.38954965608465608</v>
      </c>
      <c r="D25" s="25"/>
    </row>
    <row r="26" spans="2:4" x14ac:dyDescent="0.25">
      <c r="B26" s="12" t="s">
        <v>526</v>
      </c>
      <c r="C26" s="25">
        <f>Acquisition!C66</f>
        <v>1977.865912137971</v>
      </c>
      <c r="D26" s="25"/>
    </row>
    <row r="27" spans="2:4" x14ac:dyDescent="0.25">
      <c r="B27" s="12" t="s">
        <v>568</v>
      </c>
      <c r="C27" s="91">
        <f>Acquisition!D82</f>
        <v>4.5009907157566351E-2</v>
      </c>
      <c r="D27" s="25"/>
    </row>
    <row r="28" spans="2:4" x14ac:dyDescent="0.25">
      <c r="B28" s="12" t="s">
        <v>569</v>
      </c>
      <c r="C28" s="91">
        <f>Acquisition!D99</f>
        <v>0.1024984771825778</v>
      </c>
      <c r="D28" s="25"/>
    </row>
    <row r="30" spans="2:4" x14ac:dyDescent="0.25">
      <c r="B30" s="84" t="s">
        <v>404</v>
      </c>
      <c r="C30" s="84" t="s">
        <v>405</v>
      </c>
      <c r="D30" s="84"/>
    </row>
    <row r="31" spans="2:4" x14ac:dyDescent="0.25">
      <c r="B31" s="92" t="s">
        <v>406</v>
      </c>
      <c r="C31" s="12" t="s">
        <v>410</v>
      </c>
    </row>
    <row r="32" spans="2:4" x14ac:dyDescent="0.25">
      <c r="B32" s="93" t="s">
        <v>337</v>
      </c>
      <c r="C32" s="12" t="s">
        <v>411</v>
      </c>
    </row>
    <row r="33" spans="2:9" x14ac:dyDescent="0.25">
      <c r="B33" s="93" t="s">
        <v>342</v>
      </c>
      <c r="C33" s="12" t="s">
        <v>412</v>
      </c>
    </row>
    <row r="34" spans="2:9" x14ac:dyDescent="0.25">
      <c r="B34" s="93" t="s">
        <v>407</v>
      </c>
      <c r="C34" s="12" t="s">
        <v>413</v>
      </c>
    </row>
    <row r="35" spans="2:9" x14ac:dyDescent="0.25">
      <c r="B35" s="93" t="s">
        <v>339</v>
      </c>
      <c r="C35" s="12" t="s">
        <v>414</v>
      </c>
    </row>
    <row r="36" spans="2:9" x14ac:dyDescent="0.25">
      <c r="B36" s="93" t="s">
        <v>338</v>
      </c>
      <c r="C36" s="12" t="s">
        <v>415</v>
      </c>
    </row>
    <row r="37" spans="2:9" x14ac:dyDescent="0.25">
      <c r="B37" s="93" t="s">
        <v>340</v>
      </c>
      <c r="C37" s="12" t="s">
        <v>416</v>
      </c>
    </row>
    <row r="38" spans="2:9" x14ac:dyDescent="0.25">
      <c r="B38" s="93" t="s">
        <v>341</v>
      </c>
      <c r="C38" s="12" t="s">
        <v>417</v>
      </c>
    </row>
    <row r="39" spans="2:9" x14ac:dyDescent="0.25">
      <c r="B39" s="93" t="s">
        <v>408</v>
      </c>
      <c r="C39" s="12" t="s">
        <v>418</v>
      </c>
    </row>
    <row r="40" spans="2:9" x14ac:dyDescent="0.25">
      <c r="B40" s="93" t="s">
        <v>93</v>
      </c>
      <c r="C40" s="12" t="s">
        <v>456</v>
      </c>
    </row>
    <row r="41" spans="2:9" x14ac:dyDescent="0.25">
      <c r="B41" s="93" t="s">
        <v>409</v>
      </c>
      <c r="C41" s="12" t="s">
        <v>419</v>
      </c>
      <c r="H41" s="8"/>
      <c r="I41" s="8"/>
    </row>
    <row r="43" spans="2:9" x14ac:dyDescent="0.25">
      <c r="B43" s="94" t="s">
        <v>420</v>
      </c>
      <c r="C43" s="94"/>
      <c r="D43" s="94"/>
    </row>
    <row r="44" spans="2:9" x14ac:dyDescent="0.25">
      <c r="B44" s="3">
        <v>1000</v>
      </c>
      <c r="C44" s="86" t="s">
        <v>424</v>
      </c>
      <c r="D44" s="12" t="s">
        <v>421</v>
      </c>
    </row>
    <row r="45" spans="2:9" x14ac:dyDescent="0.25">
      <c r="B45" s="2">
        <v>1000</v>
      </c>
      <c r="C45" s="12" t="s">
        <v>425</v>
      </c>
      <c r="D45" s="12" t="s">
        <v>422</v>
      </c>
    </row>
    <row r="46" spans="2:9" x14ac:dyDescent="0.25">
      <c r="B46" s="25">
        <v>1000</v>
      </c>
      <c r="C46" s="85" t="s">
        <v>426</v>
      </c>
      <c r="D46" s="12" t="s">
        <v>423</v>
      </c>
    </row>
  </sheetData>
  <mergeCells count="5">
    <mergeCell ref="B43:D43"/>
    <mergeCell ref="B2:D2"/>
    <mergeCell ref="B3:D3"/>
    <mergeCell ref="B4:D4"/>
    <mergeCell ref="B8:D8"/>
  </mergeCells>
  <conditionalFormatting sqref="C5">
    <cfRule type="containsText" dxfId="13" priority="1" operator="containsText" text="OK">
      <formula>NOT(ISERROR(SEARCH("OK",C5)))</formula>
    </cfRule>
  </conditionalFormatting>
  <hyperlinks>
    <hyperlink ref="B31" location="IS!A1" display="IS" xr:uid="{C6F30826-C614-4452-ABE5-EAB6040B7DBA}"/>
    <hyperlink ref="B32" location="BS!A1" display="BS" xr:uid="{5A59B27F-C0FC-454B-B43E-2DB534CCD1EB}"/>
    <hyperlink ref="B33" location="CF!A1" display="CF" xr:uid="{C1077E3F-6AA6-4240-B184-452E23DEFFAC}"/>
    <hyperlink ref="B34" location="Ops_Data!A1" display="Ops_Data" xr:uid="{DF4C0B4D-1A5B-4BF3-B9B7-3BD0704C25DE}"/>
    <hyperlink ref="B35" location="Ops_Forecast!A1" display="Ops_Forecast" xr:uid="{29742299-B64C-459A-820E-256EB41C4327}"/>
    <hyperlink ref="B36" location="Capex_DA!A1" display="Capex_DA" xr:uid="{A7B123EC-943D-4C21-B22C-2F5943B31B93}"/>
    <hyperlink ref="B37" location="WC!A1" display="WC" xr:uid="{EE21DEE9-2A2D-43F2-92FA-FE8EA8DC4DEA}"/>
    <hyperlink ref="B38" location="Debt!A1" display="Debt" xr:uid="{B14498EF-3F2C-4C6E-9F1A-7CC1E3B08DBC}"/>
    <hyperlink ref="B39" location="Fin_Inputs!A1" display="Fin_Inputs" xr:uid="{648D9BDD-A4E0-403E-9FA8-542B32E6C03D}"/>
    <hyperlink ref="B41" location="Check!A1" display="Check" xr:uid="{0259DBD4-B864-4686-A047-EBF7D598C6D8}"/>
    <hyperlink ref="B40" location="Acquisition!A1" display="Acquisition" xr:uid="{DACF6FB9-9520-4D5B-9B9A-BF06380390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0527-0AF6-4686-9472-DCFDBD4647F2}">
  <sheetPr>
    <tabColor theme="7" tint="0.39997558519241921"/>
  </sheetPr>
  <dimension ref="B2:M39"/>
  <sheetViews>
    <sheetView zoomScale="98" zoomScaleNormal="98" workbookViewId="0">
      <pane xSplit="2" ySplit="6" topLeftCell="G7" activePane="bottomRight" state="frozen"/>
      <selection pane="topRight" activeCell="C1" sqref="C1"/>
      <selection pane="bottomLeft" activeCell="A6" sqref="A6"/>
      <selection pane="bottomRight"/>
    </sheetView>
  </sheetViews>
  <sheetFormatPr defaultRowHeight="12.75" x14ac:dyDescent="0.2"/>
  <cols>
    <col min="1" max="1" width="2.7109375" style="1" customWidth="1"/>
    <col min="2" max="2" width="45.7109375" style="1" customWidth="1"/>
    <col min="3" max="12" width="14.42578125" style="2" customWidth="1"/>
    <col min="13" max="13" width="95.42578125" style="1" customWidth="1"/>
    <col min="14" max="17" width="9.140625" style="1"/>
    <col min="18" max="18" width="9.140625" style="1" customWidth="1"/>
    <col min="19" max="16384" width="9.140625" style="1"/>
  </cols>
  <sheetData>
    <row r="2" spans="2:13" ht="18" x14ac:dyDescent="0.25">
      <c r="B2" s="95" t="s">
        <v>345</v>
      </c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2:13" x14ac:dyDescent="0.2">
      <c r="B3" s="1" t="s">
        <v>359</v>
      </c>
      <c r="C3" s="1" t="str">
        <f>Check!E4</f>
        <v>MODEL OK</v>
      </c>
    </row>
    <row r="5" spans="2:13" x14ac:dyDescent="0.2">
      <c r="C5" s="2" t="s">
        <v>100</v>
      </c>
      <c r="D5" s="2" t="s">
        <v>101</v>
      </c>
      <c r="E5" s="2" t="s">
        <v>102</v>
      </c>
      <c r="F5" s="2" t="s">
        <v>103</v>
      </c>
      <c r="G5" s="2" t="s">
        <v>104</v>
      </c>
      <c r="H5" s="2" t="s">
        <v>105</v>
      </c>
      <c r="I5" s="2" t="s">
        <v>106</v>
      </c>
      <c r="J5" s="2" t="s">
        <v>107</v>
      </c>
      <c r="K5" s="2" t="s">
        <v>108</v>
      </c>
      <c r="L5" s="2" t="s">
        <v>109</v>
      </c>
      <c r="M5" s="1" t="s">
        <v>0</v>
      </c>
    </row>
    <row r="6" spans="2:13" x14ac:dyDescent="0.2">
      <c r="B6" s="94" t="s">
        <v>111</v>
      </c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2:13" x14ac:dyDescent="0.2">
      <c r="B7" s="1" t="s">
        <v>1</v>
      </c>
      <c r="C7" s="3">
        <v>52599</v>
      </c>
      <c r="D7" s="3">
        <v>63240</v>
      </c>
      <c r="E7" s="3">
        <v>70909</v>
      </c>
      <c r="F7" s="3">
        <v>75955</v>
      </c>
      <c r="G7" s="3">
        <v>88511.53</v>
      </c>
      <c r="H7" s="67">
        <f>Ops_Forecast!H28</f>
        <v>99039.237701961101</v>
      </c>
      <c r="I7" s="59">
        <f>Ops_Forecast!I28</f>
        <v>109879.88960979262</v>
      </c>
      <c r="J7" s="59">
        <f>Ops_Forecast!J28</f>
        <v>120857.38471203081</v>
      </c>
      <c r="K7" s="59">
        <f>Ops_Forecast!K28</f>
        <v>131770.73027367907</v>
      </c>
      <c r="L7" s="59">
        <f>Ops_Forecast!L28</f>
        <v>143672.11124218878</v>
      </c>
      <c r="M7" s="11" t="s">
        <v>288</v>
      </c>
    </row>
    <row r="8" spans="2:13" x14ac:dyDescent="0.2">
      <c r="B8" s="1" t="s">
        <v>2</v>
      </c>
      <c r="C8" s="3">
        <v>508</v>
      </c>
      <c r="D8" s="3">
        <v>503</v>
      </c>
      <c r="E8" s="3">
        <v>617</v>
      </c>
      <c r="F8" s="3">
        <v>744</v>
      </c>
      <c r="G8" s="3">
        <v>578</v>
      </c>
      <c r="H8" s="60">
        <f>Fin_Inputs!H8*(BS!G14+BS!G15+BS!G10)</f>
        <v>609.29999999999995</v>
      </c>
      <c r="I8" s="59">
        <f>Fin_Inputs!H8*(BS!H14+BS!H15+BS!H10)</f>
        <v>649.77178667970713</v>
      </c>
      <c r="J8" s="59">
        <f>Fin_Inputs!I8*(BS!I14+BS!I15+BS!I10)</f>
        <v>658.47535462911219</v>
      </c>
      <c r="K8" s="59">
        <f>Fin_Inputs!J8*(BS!J14+BS!J15+BS!J10)</f>
        <v>658.07710032362252</v>
      </c>
      <c r="L8" s="59">
        <f>Fin_Inputs!K8*(BS!K14+BS!K15+BS!K10)</f>
        <v>737.6837732815369</v>
      </c>
      <c r="M8" s="11" t="s">
        <v>289</v>
      </c>
    </row>
    <row r="9" spans="2:13" x14ac:dyDescent="0.2">
      <c r="B9" s="4" t="s">
        <v>3</v>
      </c>
      <c r="C9" s="2">
        <f>SUM(C7:C8)</f>
        <v>53107</v>
      </c>
      <c r="D9" s="2">
        <f>SUM(D7:D8)</f>
        <v>63743</v>
      </c>
      <c r="E9" s="2">
        <f>SUM(E7:E8)</f>
        <v>71526</v>
      </c>
      <c r="F9" s="2">
        <f>SUM(F7:F8)</f>
        <v>76699</v>
      </c>
      <c r="G9" s="2">
        <f>SUM(G7:G8)</f>
        <v>89089.53</v>
      </c>
      <c r="H9" s="21">
        <f t="shared" ref="H9:L9" si="0">SUM(H7:H8)</f>
        <v>99648.537701961104</v>
      </c>
      <c r="I9" s="19">
        <f t="shared" si="0"/>
        <v>110529.66139647232</v>
      </c>
      <c r="J9" s="19">
        <f t="shared" si="0"/>
        <v>121515.86006665992</v>
      </c>
      <c r="K9" s="19">
        <f t="shared" si="0"/>
        <v>132428.8073740027</v>
      </c>
      <c r="L9" s="19">
        <f t="shared" si="0"/>
        <v>144409.79501547033</v>
      </c>
      <c r="M9" s="11" t="s">
        <v>290</v>
      </c>
    </row>
    <row r="10" spans="2:13" x14ac:dyDescent="0.2">
      <c r="M10" s="12"/>
    </row>
    <row r="11" spans="2:13" x14ac:dyDescent="0.2">
      <c r="B11" s="94" t="s">
        <v>316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12"/>
    </row>
    <row r="12" spans="2:13" x14ac:dyDescent="0.2">
      <c r="B12" s="1" t="s">
        <v>4</v>
      </c>
      <c r="C12" s="3">
        <v>7096</v>
      </c>
      <c r="D12" s="3">
        <v>8933</v>
      </c>
      <c r="E12" s="3">
        <v>10252</v>
      </c>
      <c r="F12" s="3">
        <v>11822</v>
      </c>
      <c r="G12" s="3">
        <v>14568</v>
      </c>
      <c r="H12" s="67">
        <f>Ops_Forecast!H33*Ops_Forecast!H24/10</f>
        <v>19798.027050243112</v>
      </c>
      <c r="I12" s="59">
        <f>Ops_Forecast!I33*Ops_Forecast!I24/10</f>
        <v>22611.114337317667</v>
      </c>
      <c r="J12" s="59">
        <f>Ops_Forecast!J33*Ops_Forecast!J24/10</f>
        <v>25601.538881336975</v>
      </c>
      <c r="K12" s="59">
        <f>Ops_Forecast!K33*Ops_Forecast!K24/10</f>
        <v>28734.32232195387</v>
      </c>
      <c r="L12" s="59">
        <f>Ops_Forecast!L33*Ops_Forecast!L24/10</f>
        <v>32251.031339836052</v>
      </c>
      <c r="M12" s="11" t="s">
        <v>291</v>
      </c>
    </row>
    <row r="13" spans="2:13" x14ac:dyDescent="0.2">
      <c r="B13" s="1" t="s">
        <v>5</v>
      </c>
      <c r="C13" s="3">
        <v>1252</v>
      </c>
      <c r="D13" s="3">
        <v>1300</v>
      </c>
      <c r="E13" s="3">
        <v>1734</v>
      </c>
      <c r="F13" s="3">
        <v>1870</v>
      </c>
      <c r="G13" s="3">
        <v>2517</v>
      </c>
      <c r="H13" s="55">
        <v>0</v>
      </c>
      <c r="I13" s="18">
        <v>0</v>
      </c>
      <c r="J13" s="18">
        <v>0</v>
      </c>
      <c r="K13" s="18">
        <v>0</v>
      </c>
      <c r="L13" s="18">
        <v>0</v>
      </c>
      <c r="M13" s="11" t="s">
        <v>292</v>
      </c>
    </row>
    <row r="14" spans="2:13" x14ac:dyDescent="0.2">
      <c r="B14" s="1" t="s">
        <v>6</v>
      </c>
      <c r="C14" s="3">
        <v>-383</v>
      </c>
      <c r="D14" s="3">
        <v>-518</v>
      </c>
      <c r="E14" s="3">
        <v>-83</v>
      </c>
      <c r="F14" s="3">
        <v>12</v>
      </c>
      <c r="G14" s="3">
        <v>103</v>
      </c>
      <c r="H14" s="55">
        <v>0</v>
      </c>
      <c r="I14" s="18">
        <v>0</v>
      </c>
      <c r="J14" s="18">
        <v>0</v>
      </c>
      <c r="K14" s="18">
        <v>0</v>
      </c>
      <c r="L14" s="18">
        <v>0</v>
      </c>
      <c r="M14" s="11" t="s">
        <v>293</v>
      </c>
    </row>
    <row r="15" spans="2:13" x14ac:dyDescent="0.2">
      <c r="B15" s="1" t="s">
        <v>7</v>
      </c>
      <c r="C15" s="3">
        <v>2535</v>
      </c>
      <c r="D15" s="3">
        <v>2739</v>
      </c>
      <c r="E15" s="3">
        <v>3038</v>
      </c>
      <c r="F15" s="3">
        <v>3605</v>
      </c>
      <c r="G15" s="3">
        <v>4162</v>
      </c>
      <c r="H15" s="60">
        <f>Ops_Forecast!H32</f>
        <v>4494.96</v>
      </c>
      <c r="I15" s="59">
        <f>Ops_Forecast!I32</f>
        <v>4854.5568000000003</v>
      </c>
      <c r="J15" s="59">
        <f>Ops_Forecast!J32</f>
        <v>5242.9213440000003</v>
      </c>
      <c r="K15" s="59">
        <f>Ops_Forecast!K32</f>
        <v>5662.3550515200004</v>
      </c>
      <c r="L15" s="59">
        <f>Ops_Forecast!L32</f>
        <v>6115.3434556416005</v>
      </c>
      <c r="M15" s="11" t="s">
        <v>294</v>
      </c>
    </row>
    <row r="16" spans="2:13" x14ac:dyDescent="0.2">
      <c r="B16" s="1" t="s">
        <v>8</v>
      </c>
      <c r="C16" s="3">
        <v>12137</v>
      </c>
      <c r="D16" s="3">
        <v>18491</v>
      </c>
      <c r="E16" s="3">
        <v>18283</v>
      </c>
      <c r="F16" s="3">
        <v>18419</v>
      </c>
      <c r="G16" s="3">
        <v>19597</v>
      </c>
      <c r="H16" s="60">
        <f>Ops_Forecast!H34*Ops_Forecast!H24/10</f>
        <v>22357.858392220423</v>
      </c>
      <c r="I16" s="59">
        <f>Ops_Forecast!I34*Ops_Forecast!I24/10</f>
        <v>24318.733576985418</v>
      </c>
      <c r="J16" s="59">
        <f>Ops_Forecast!J34*Ops_Forecast!J24/10</f>
        <v>26748.284422750025</v>
      </c>
      <c r="K16" s="59">
        <f>Ops_Forecast!K34*Ops_Forecast!K24/10</f>
        <v>29163.637624230196</v>
      </c>
      <c r="L16" s="59">
        <f>Ops_Forecast!L34*Ops_Forecast!L24/10</f>
        <v>31797.663868697757</v>
      </c>
      <c r="M16" s="11" t="s">
        <v>295</v>
      </c>
    </row>
    <row r="17" spans="2:13" x14ac:dyDescent="0.2">
      <c r="B17" s="1" t="s">
        <v>9</v>
      </c>
      <c r="C17" s="3">
        <v>11712</v>
      </c>
      <c r="D17" s="3">
        <v>14009</v>
      </c>
      <c r="E17" s="3">
        <v>15881</v>
      </c>
      <c r="F17" s="3">
        <v>17460</v>
      </c>
      <c r="G17" s="3">
        <v>19169</v>
      </c>
      <c r="H17" s="60">
        <f>Ops_Forecast!H35*Ops_Forecast!H24/10</f>
        <v>21448.99254943274</v>
      </c>
      <c r="I17" s="59">
        <f>Ops_Forecast!I35*Ops_Forecast!I24/10</f>
        <v>23563.458065409242</v>
      </c>
      <c r="J17" s="59">
        <f>Ops_Forecast!J35*Ops_Forecast!J24/10</f>
        <v>25663.459829413601</v>
      </c>
      <c r="K17" s="59">
        <f>Ops_Forecast!K35*Ops_Forecast!K24/10</f>
        <v>27706.531956214574</v>
      </c>
      <c r="L17" s="59">
        <f>Ops_Forecast!L35*Ops_Forecast!L24/10</f>
        <v>29912.787874221704</v>
      </c>
      <c r="M17" s="11" t="s">
        <v>296</v>
      </c>
    </row>
    <row r="18" spans="2:13" x14ac:dyDescent="0.2">
      <c r="B18" s="1" t="s">
        <v>10</v>
      </c>
      <c r="C18" s="3">
        <v>6735</v>
      </c>
      <c r="D18" s="3">
        <v>7666</v>
      </c>
      <c r="E18" s="3">
        <v>8835</v>
      </c>
      <c r="F18" s="3">
        <v>10210</v>
      </c>
      <c r="G18" s="3">
        <v>11374</v>
      </c>
      <c r="H18" s="60">
        <f>Ops_Forecast!H37*Ops_Forecast!H24/10</f>
        <v>12851.615327390602</v>
      </c>
      <c r="I18" s="59">
        <f>Ops_Forecast!I37*Ops_Forecast!I24/10</f>
        <v>14398.116930919778</v>
      </c>
      <c r="J18" s="59">
        <f>Ops_Forecast!J37*Ops_Forecast!J24/10</f>
        <v>15991.813889723639</v>
      </c>
      <c r="K18" s="59">
        <f>Ops_Forecast!K37*Ops_Forecast!K24/10</f>
        <v>17606.804439833493</v>
      </c>
      <c r="L18" s="59">
        <f>Ops_Forecast!L37*Ops_Forecast!L24/10</f>
        <v>19385.236972795046</v>
      </c>
      <c r="M18" s="11" t="s">
        <v>297</v>
      </c>
    </row>
    <row r="19" spans="2:13" x14ac:dyDescent="0.2">
      <c r="B19" s="4" t="s">
        <v>11</v>
      </c>
      <c r="C19" s="2">
        <f>SUM(C12:C18)</f>
        <v>41084</v>
      </c>
      <c r="D19" s="2">
        <f>SUM(D12:D18)</f>
        <v>52620</v>
      </c>
      <c r="E19" s="2">
        <f>SUM(E12:E18)</f>
        <v>57940</v>
      </c>
      <c r="F19" s="2">
        <f>SUM(F12:F18)</f>
        <v>63398</v>
      </c>
      <c r="G19" s="2">
        <f>SUM(G12:G18)</f>
        <v>71490</v>
      </c>
      <c r="H19" s="21">
        <f t="shared" ref="H19:L19" si="1">SUM(H12:H18)</f>
        <v>80951.453319286869</v>
      </c>
      <c r="I19" s="19">
        <f t="shared" si="1"/>
        <v>89745.979710632106</v>
      </c>
      <c r="J19" s="19">
        <f t="shared" si="1"/>
        <v>99248.018367224242</v>
      </c>
      <c r="K19" s="19">
        <f t="shared" si="1"/>
        <v>108873.65139375212</v>
      </c>
      <c r="L19" s="19">
        <f t="shared" si="1"/>
        <v>119462.06351119216</v>
      </c>
      <c r="M19" s="11" t="s">
        <v>298</v>
      </c>
    </row>
    <row r="20" spans="2:13" x14ac:dyDescent="0.2">
      <c r="M20" s="12"/>
    </row>
    <row r="21" spans="2:13" x14ac:dyDescent="0.2">
      <c r="B21" s="94" t="s">
        <v>112</v>
      </c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12"/>
    </row>
    <row r="22" spans="2:13" x14ac:dyDescent="0.2">
      <c r="B22" s="4" t="s">
        <v>12</v>
      </c>
      <c r="C22" s="2">
        <f>C7-C19</f>
        <v>11515</v>
      </c>
      <c r="D22" s="2">
        <f>D7-D19</f>
        <v>10620</v>
      </c>
      <c r="E22" s="2">
        <f>E7-E19</f>
        <v>12969</v>
      </c>
      <c r="F22" s="2">
        <f>F7-F19</f>
        <v>12557</v>
      </c>
      <c r="G22" s="2">
        <f>G7-G19</f>
        <v>17021.53</v>
      </c>
      <c r="H22" s="48">
        <f t="shared" ref="H22:L22" si="2">H7-H19</f>
        <v>18087.784382674232</v>
      </c>
      <c r="I22" s="19">
        <f t="shared" si="2"/>
        <v>20133.909899160513</v>
      </c>
      <c r="J22" s="19">
        <f t="shared" si="2"/>
        <v>21609.366344806564</v>
      </c>
      <c r="K22" s="19">
        <f t="shared" si="2"/>
        <v>22897.07887992695</v>
      </c>
      <c r="L22" s="19">
        <f t="shared" si="2"/>
        <v>24210.047730996623</v>
      </c>
      <c r="M22" s="11" t="s">
        <v>431</v>
      </c>
    </row>
    <row r="23" spans="2:13" x14ac:dyDescent="0.2">
      <c r="B23" s="1" t="s">
        <v>13</v>
      </c>
      <c r="C23" s="2">
        <f>C22+C8</f>
        <v>12023</v>
      </c>
      <c r="D23" s="2">
        <f>D22+D8</f>
        <v>11123</v>
      </c>
      <c r="E23" s="2">
        <f>E22+E8</f>
        <v>13586</v>
      </c>
      <c r="F23" s="2">
        <f>F22+F8</f>
        <v>13301</v>
      </c>
      <c r="G23" s="2">
        <f>G22+G8</f>
        <v>17599.53</v>
      </c>
      <c r="H23" s="21">
        <f t="shared" ref="H23:L23" si="3">H22+H8</f>
        <v>18697.084382674231</v>
      </c>
      <c r="I23" s="19">
        <f t="shared" si="3"/>
        <v>20783.68168584022</v>
      </c>
      <c r="J23" s="19">
        <f t="shared" si="3"/>
        <v>22267.841699435674</v>
      </c>
      <c r="K23" s="19">
        <f t="shared" si="3"/>
        <v>23555.155980250573</v>
      </c>
      <c r="L23" s="19">
        <f t="shared" si="3"/>
        <v>24947.731504278159</v>
      </c>
      <c r="M23" s="11" t="s">
        <v>299</v>
      </c>
    </row>
    <row r="24" spans="2:13" x14ac:dyDescent="0.2">
      <c r="B24" s="1" t="s">
        <v>14</v>
      </c>
      <c r="C24" s="3">
        <v>2715</v>
      </c>
      <c r="D24" s="3">
        <v>2888</v>
      </c>
      <c r="E24" s="3">
        <v>3145</v>
      </c>
      <c r="F24" s="3">
        <v>4015</v>
      </c>
      <c r="G24" s="3">
        <v>4644</v>
      </c>
      <c r="H24" s="60">
        <f>Capex_DA!H22</f>
        <v>4996.5219999999999</v>
      </c>
      <c r="I24" s="59">
        <f>Capex_DA!I22</f>
        <v>5261.7063340000004</v>
      </c>
      <c r="J24" s="59">
        <f>Capex_DA!J22</f>
        <v>5512.8358982979998</v>
      </c>
      <c r="K24" s="59">
        <f>Capex_DA!K22</f>
        <v>5710.4778024448105</v>
      </c>
      <c r="L24" s="59">
        <f>Capex_DA!L22</f>
        <v>5869.4145865831879</v>
      </c>
      <c r="M24" s="11" t="s">
        <v>300</v>
      </c>
    </row>
    <row r="25" spans="2:13" x14ac:dyDescent="0.2">
      <c r="B25" s="4" t="s">
        <v>15</v>
      </c>
      <c r="C25" s="2">
        <f>C23-C24</f>
        <v>9308</v>
      </c>
      <c r="D25" s="2">
        <f>D23-D24</f>
        <v>8235</v>
      </c>
      <c r="E25" s="2">
        <f>E23-E24</f>
        <v>10441</v>
      </c>
      <c r="F25" s="2">
        <f>F23-F24</f>
        <v>9286</v>
      </c>
      <c r="G25" s="2">
        <f>G23-G24</f>
        <v>12955.529999999999</v>
      </c>
      <c r="H25" s="21">
        <f t="shared" ref="H25:L25" si="4">H23-H24</f>
        <v>13700.56238267423</v>
      </c>
      <c r="I25" s="19">
        <f t="shared" si="4"/>
        <v>15521.975351840219</v>
      </c>
      <c r="J25" s="19">
        <f t="shared" si="4"/>
        <v>16755.005801137675</v>
      </c>
      <c r="K25" s="19">
        <f t="shared" si="4"/>
        <v>17844.678177805763</v>
      </c>
      <c r="L25" s="19">
        <f t="shared" si="4"/>
        <v>19078.31691769497</v>
      </c>
      <c r="M25" s="11" t="s">
        <v>432</v>
      </c>
    </row>
    <row r="26" spans="2:13" x14ac:dyDescent="0.2">
      <c r="B26" s="1" t="s">
        <v>16</v>
      </c>
      <c r="C26" s="3">
        <v>945</v>
      </c>
      <c r="D26" s="3">
        <v>823</v>
      </c>
      <c r="E26" s="3">
        <v>968</v>
      </c>
      <c r="F26" s="3">
        <v>1651</v>
      </c>
      <c r="G26" s="3">
        <v>1872</v>
      </c>
      <c r="H26" s="60">
        <f>Debt!H18</f>
        <v>1822.48</v>
      </c>
      <c r="I26" s="59">
        <f>Debt!I18</f>
        <v>1742.48</v>
      </c>
      <c r="J26" s="59">
        <f>Debt!J18</f>
        <v>1542.48</v>
      </c>
      <c r="K26" s="59">
        <f>Debt!K18</f>
        <v>1262.48</v>
      </c>
      <c r="L26" s="59">
        <f>Debt!L18</f>
        <v>942.48</v>
      </c>
      <c r="M26" s="11" t="s">
        <v>301</v>
      </c>
    </row>
    <row r="27" spans="2:13" x14ac:dyDescent="0.2">
      <c r="B27" s="1" t="s">
        <v>20</v>
      </c>
      <c r="C27" s="3">
        <v>0</v>
      </c>
      <c r="D27" s="3">
        <v>0</v>
      </c>
      <c r="E27" s="3">
        <v>-72</v>
      </c>
      <c r="F27" s="3">
        <v>-97</v>
      </c>
      <c r="G27" s="3">
        <v>-139</v>
      </c>
      <c r="H27" s="60">
        <f>Fin_Inputs!H9</f>
        <v>0</v>
      </c>
      <c r="I27" s="59">
        <f>Fin_Inputs!I9</f>
        <v>0</v>
      </c>
      <c r="J27" s="59">
        <f>Fin_Inputs!J9</f>
        <v>0</v>
      </c>
      <c r="K27" s="59">
        <f>Fin_Inputs!K9</f>
        <v>0</v>
      </c>
      <c r="L27" s="59">
        <f>Fin_Inputs!L9</f>
        <v>0</v>
      </c>
      <c r="M27" s="11" t="s">
        <v>302</v>
      </c>
    </row>
    <row r="28" spans="2:13" x14ac:dyDescent="0.2">
      <c r="B28" s="1" t="s">
        <v>25</v>
      </c>
      <c r="C28" s="3">
        <v>2</v>
      </c>
      <c r="D28" s="3">
        <v>4.03</v>
      </c>
      <c r="E28" s="3">
        <v>22</v>
      </c>
      <c r="F28" s="3">
        <v>-11</v>
      </c>
      <c r="G28" s="3">
        <v>-16</v>
      </c>
      <c r="H28" s="60">
        <f>Fin_Inputs!H10</f>
        <v>0</v>
      </c>
      <c r="I28" s="59">
        <f>Fin_Inputs!I10</f>
        <v>0</v>
      </c>
      <c r="J28" s="59">
        <f>Fin_Inputs!J10</f>
        <v>0</v>
      </c>
      <c r="K28" s="59">
        <f>Fin_Inputs!K10</f>
        <v>0</v>
      </c>
      <c r="L28" s="59">
        <f>Fin_Inputs!L10</f>
        <v>0</v>
      </c>
      <c r="M28" s="11" t="s">
        <v>303</v>
      </c>
    </row>
    <row r="29" spans="2:13" x14ac:dyDescent="0.2">
      <c r="B29" s="4" t="s">
        <v>17</v>
      </c>
      <c r="C29" s="2">
        <f t="shared" ref="C29:F29" si="5">C25-C26+C27+C28</f>
        <v>8365</v>
      </c>
      <c r="D29" s="2">
        <f t="shared" si="5"/>
        <v>7416.03</v>
      </c>
      <c r="E29" s="2">
        <f>E25-E26+E27+E28</f>
        <v>9423</v>
      </c>
      <c r="F29" s="2">
        <f t="shared" si="5"/>
        <v>7527</v>
      </c>
      <c r="G29" s="2">
        <f>G25-G26+G27+G28</f>
        <v>10928.529999999999</v>
      </c>
      <c r="H29" s="21">
        <f t="shared" ref="H29:L29" si="6">H25-H26+H27+H28</f>
        <v>11878.082382674231</v>
      </c>
      <c r="I29" s="19">
        <f t="shared" si="6"/>
        <v>13779.49535184022</v>
      </c>
      <c r="J29" s="19">
        <f t="shared" si="6"/>
        <v>15212.525801137675</v>
      </c>
      <c r="K29" s="19">
        <f t="shared" si="6"/>
        <v>16582.198177805763</v>
      </c>
      <c r="L29" s="19">
        <f t="shared" si="6"/>
        <v>18135.836917694971</v>
      </c>
      <c r="M29" s="11" t="s">
        <v>433</v>
      </c>
    </row>
    <row r="30" spans="2:13" x14ac:dyDescent="0.2">
      <c r="B30" s="1" t="s">
        <v>18</v>
      </c>
      <c r="C30" s="3">
        <v>1190</v>
      </c>
      <c r="D30" s="3">
        <v>2343</v>
      </c>
      <c r="E30" s="3">
        <v>2418.5500000000002</v>
      </c>
      <c r="F30" s="3">
        <v>1487.75</v>
      </c>
      <c r="G30" s="3">
        <v>2739.49</v>
      </c>
      <c r="H30" s="60">
        <f>H29*Fin_Inputs!H7</f>
        <v>2993.276760433906</v>
      </c>
      <c r="I30" s="59">
        <f>I29*Fin_Inputs!I7</f>
        <v>3472.4328286637356</v>
      </c>
      <c r="J30" s="59">
        <f>J29*Fin_Inputs!J7</f>
        <v>3833.5565018866942</v>
      </c>
      <c r="K30" s="59">
        <f>K29*Fin_Inputs!K7</f>
        <v>4178.7139408070525</v>
      </c>
      <c r="L30" s="59">
        <f>L29*Fin_Inputs!L7</f>
        <v>4570.2309032591329</v>
      </c>
      <c r="M30" s="11" t="s">
        <v>304</v>
      </c>
    </row>
    <row r="31" spans="2:13" x14ac:dyDescent="0.2">
      <c r="B31" s="4" t="s">
        <v>19</v>
      </c>
      <c r="C31" s="2">
        <f>C29-C30</f>
        <v>7175</v>
      </c>
      <c r="D31" s="2">
        <f>D29-D30</f>
        <v>5073.03</v>
      </c>
      <c r="E31" s="2">
        <f>E29-E30</f>
        <v>7004.45</v>
      </c>
      <c r="F31" s="2">
        <f>F29-F30</f>
        <v>6039.25</v>
      </c>
      <c r="G31" s="2">
        <f>G29-G30</f>
        <v>8189.0399999999991</v>
      </c>
      <c r="H31" s="21">
        <f t="shared" ref="H31:L31" si="7">H29-H30</f>
        <v>8884.8056222403247</v>
      </c>
      <c r="I31" s="19">
        <f t="shared" si="7"/>
        <v>10307.062523176484</v>
      </c>
      <c r="J31" s="19">
        <f t="shared" si="7"/>
        <v>11378.969299250981</v>
      </c>
      <c r="K31" s="19">
        <f t="shared" si="7"/>
        <v>12403.484236998711</v>
      </c>
      <c r="L31" s="19">
        <f t="shared" si="7"/>
        <v>13565.606014435838</v>
      </c>
      <c r="M31" s="11" t="s">
        <v>434</v>
      </c>
    </row>
    <row r="32" spans="2:13" x14ac:dyDescent="0.2">
      <c r="B32" s="1" t="s">
        <v>57</v>
      </c>
      <c r="C32" s="3">
        <v>-10.050000000000001</v>
      </c>
      <c r="D32" s="3">
        <v>9.44</v>
      </c>
      <c r="E32" s="3">
        <v>-1.04</v>
      </c>
      <c r="F32" s="3">
        <v>0.53</v>
      </c>
      <c r="G32" s="3">
        <v>22.71</v>
      </c>
      <c r="H32" s="60">
        <f>H31*Fin_Inputs!H11</f>
        <v>26.654416866720975</v>
      </c>
      <c r="I32" s="59">
        <f>I31*Fin_Inputs!I11</f>
        <v>30.921187569529454</v>
      </c>
      <c r="J32" s="59">
        <f>J31*Fin_Inputs!J11</f>
        <v>34.136907897752941</v>
      </c>
      <c r="K32" s="59">
        <f>K31*Fin_Inputs!K11</f>
        <v>37.210452710996137</v>
      </c>
      <c r="L32" s="59">
        <f>L31*Fin_Inputs!L11</f>
        <v>40.696818043307516</v>
      </c>
      <c r="M32" s="11" t="s">
        <v>305</v>
      </c>
    </row>
    <row r="33" spans="2:13" x14ac:dyDescent="0.2">
      <c r="B33" s="4" t="s">
        <v>58</v>
      </c>
      <c r="C33" s="2">
        <f t="shared" ref="C33:F33" si="8">C31-C32</f>
        <v>7185.05</v>
      </c>
      <c r="D33" s="2">
        <f t="shared" si="8"/>
        <v>5063.59</v>
      </c>
      <c r="E33" s="2">
        <f>E31-E32</f>
        <v>7005.49</v>
      </c>
      <c r="F33" s="2">
        <f t="shared" si="8"/>
        <v>6038.72</v>
      </c>
      <c r="G33" s="2">
        <f>G31-G32</f>
        <v>8166.329999999999</v>
      </c>
      <c r="H33" s="21">
        <f t="shared" ref="H33:L33" si="9">H31-H32</f>
        <v>8858.1512053736042</v>
      </c>
      <c r="I33" s="19">
        <f t="shared" si="9"/>
        <v>10276.141335606955</v>
      </c>
      <c r="J33" s="19">
        <f t="shared" si="9"/>
        <v>11344.832391353228</v>
      </c>
      <c r="K33" s="19">
        <f t="shared" si="9"/>
        <v>12366.273784287714</v>
      </c>
      <c r="L33" s="19">
        <f t="shared" si="9"/>
        <v>13524.909196392531</v>
      </c>
      <c r="M33" s="11" t="s">
        <v>435</v>
      </c>
    </row>
    <row r="34" spans="2:13" x14ac:dyDescent="0.2">
      <c r="M34" s="6"/>
    </row>
    <row r="35" spans="2:13" x14ac:dyDescent="0.2">
      <c r="B35" s="94" t="s">
        <v>115</v>
      </c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6"/>
    </row>
    <row r="36" spans="2:13" x14ac:dyDescent="0.2">
      <c r="B36" s="1" t="s">
        <v>21</v>
      </c>
      <c r="C36" s="5"/>
      <c r="D36" s="5">
        <f>IF(C7=0,0,(D7/C7)-1)</f>
        <v>0.20230422631608969</v>
      </c>
      <c r="E36" s="5">
        <f>IF(D7=0,0,E7/D7-1)</f>
        <v>0.12126818469323219</v>
      </c>
      <c r="F36" s="5">
        <f>IF(E7=0,0,F7/E7-1)</f>
        <v>7.1161629694397099E-2</v>
      </c>
      <c r="G36" s="5">
        <f>IF(F7=0,0,G7/F7-1)</f>
        <v>0.16531538410901181</v>
      </c>
      <c r="H36" s="53">
        <f t="shared" ref="H36:L36" si="10">IF(G7=0,0,H7/G7-1)</f>
        <v>0.11894165316045391</v>
      </c>
      <c r="I36" s="53">
        <f t="shared" si="10"/>
        <v>0.10945815173228923</v>
      </c>
      <c r="J36" s="53">
        <f t="shared" si="10"/>
        <v>9.9904497003242998E-2</v>
      </c>
      <c r="K36" s="53">
        <f t="shared" si="10"/>
        <v>9.0299368860675688E-2</v>
      </c>
      <c r="L36" s="53">
        <f t="shared" si="10"/>
        <v>9.0318851112013432E-2</v>
      </c>
      <c r="M36" s="11" t="s">
        <v>436</v>
      </c>
    </row>
    <row r="37" spans="2:13" x14ac:dyDescent="0.2">
      <c r="B37" s="1" t="s">
        <v>22</v>
      </c>
      <c r="C37" s="5">
        <f>IF(C7=0,0,C22/C7)</f>
        <v>0.21892051179680222</v>
      </c>
      <c r="D37" s="5">
        <f>IF(D7=0,0,D22/D7)</f>
        <v>0.16793168880455409</v>
      </c>
      <c r="E37" s="5">
        <f>IF(E7=0,0,E22/E7)</f>
        <v>0.18289638832870297</v>
      </c>
      <c r="F37" s="5">
        <f>IF(F7=0,0,F22/F7)</f>
        <v>0.16532157198341124</v>
      </c>
      <c r="G37" s="5">
        <f>IF(G7=0,0,G22/G7)</f>
        <v>0.19230861787159254</v>
      </c>
      <c r="H37" s="53">
        <f t="shared" ref="H37:L37" si="11">IF(H7=0,0,H22/H7)</f>
        <v>0.1826325081086127</v>
      </c>
      <c r="I37" s="53">
        <f t="shared" si="11"/>
        <v>0.18323562182907541</v>
      </c>
      <c r="J37" s="53">
        <f t="shared" si="11"/>
        <v>0.17880054575312557</v>
      </c>
      <c r="K37" s="53">
        <f t="shared" si="11"/>
        <v>0.17376452898432934</v>
      </c>
      <c r="L37" s="53">
        <f t="shared" si="11"/>
        <v>0.16850902740745299</v>
      </c>
      <c r="M37" s="11" t="s">
        <v>306</v>
      </c>
    </row>
    <row r="38" spans="2:13" x14ac:dyDescent="0.2">
      <c r="B38" s="1" t="s">
        <v>23</v>
      </c>
      <c r="C38" s="5">
        <f>IF(C7=0,0,C31/C7)</f>
        <v>0.13640943744177647</v>
      </c>
      <c r="D38" s="5">
        <f>IF(D7=0,0,D31/D7)</f>
        <v>8.0218690702087286E-2</v>
      </c>
      <c r="E38" s="5">
        <f>IF(E7=0,0,E31/E7)</f>
        <v>9.8780831770297145E-2</v>
      </c>
      <c r="F38" s="5">
        <f>IF(F7=0,0,F31/F7)</f>
        <v>7.9510894608649865E-2</v>
      </c>
      <c r="G38" s="5">
        <f>IF(G7=0,0,G31/G7)</f>
        <v>9.2519471756956406E-2</v>
      </c>
      <c r="H38" s="53">
        <f t="shared" ref="H38:L38" si="12">IF(H7=0,0,H31/H7)</f>
        <v>8.9709955653913459E-2</v>
      </c>
      <c r="I38" s="53">
        <f t="shared" si="12"/>
        <v>9.3802993066147991E-2</v>
      </c>
      <c r="J38" s="53">
        <f t="shared" si="12"/>
        <v>9.4152039830779619E-2</v>
      </c>
      <c r="K38" s="53">
        <f t="shared" si="12"/>
        <v>9.4129282058599023E-2</v>
      </c>
      <c r="L38" s="53">
        <f t="shared" si="12"/>
        <v>9.4420593510790893E-2</v>
      </c>
      <c r="M38" s="11" t="s">
        <v>307</v>
      </c>
    </row>
    <row r="39" spans="2:13" x14ac:dyDescent="0.2">
      <c r="B39" s="1" t="s">
        <v>24</v>
      </c>
      <c r="C39" s="5">
        <f>IF(C29=0,0,C30/C29)</f>
        <v>0.14225941422594143</v>
      </c>
      <c r="D39" s="5">
        <f>IF(D29=0,0,D30/D29)</f>
        <v>0.3159372332636195</v>
      </c>
      <c r="E39" s="5">
        <f>IF(E29=0,0,E30/E29)</f>
        <v>0.25666454420036083</v>
      </c>
      <c r="F39" s="5">
        <f>IF(F29=0,0,F30/F29)</f>
        <v>0.19765510827686994</v>
      </c>
      <c r="G39" s="5">
        <f>IF(G29=0,0,G30/G29)</f>
        <v>0.25067323784626111</v>
      </c>
      <c r="H39" s="53">
        <f t="shared" ref="H39:L39" si="13">IF(H29=0,0,H30/H29)</f>
        <v>0.252</v>
      </c>
      <c r="I39" s="53">
        <f t="shared" si="13"/>
        <v>0.252</v>
      </c>
      <c r="J39" s="53">
        <f t="shared" si="13"/>
        <v>0.252</v>
      </c>
      <c r="K39" s="53">
        <f t="shared" si="13"/>
        <v>0.252</v>
      </c>
      <c r="L39" s="53">
        <f t="shared" si="13"/>
        <v>0.252</v>
      </c>
      <c r="M39" s="11" t="s">
        <v>308</v>
      </c>
    </row>
  </sheetData>
  <mergeCells count="5">
    <mergeCell ref="B35:L35"/>
    <mergeCell ref="B21:L21"/>
    <mergeCell ref="B11:L11"/>
    <mergeCell ref="B6:L6"/>
    <mergeCell ref="B2:L2"/>
  </mergeCells>
  <conditionalFormatting sqref="C3">
    <cfRule type="containsText" dxfId="12" priority="1" operator="containsText" text="OK">
      <formula>NOT(ISERROR(SEARCH("OK",C3)))</formula>
    </cfRule>
  </conditionalFormatting>
  <pageMargins left="0.7" right="0.7" top="0.75" bottom="0.75" header="0.3" footer="0.3"/>
  <ignoredErrors>
    <ignoredError sqref="H32:L3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812A-2EAE-4645-B40B-A397C1D685C5}">
  <sheetPr>
    <tabColor theme="6" tint="0.39997558519241921"/>
  </sheetPr>
  <dimension ref="B2:M45"/>
  <sheetViews>
    <sheetView zoomScale="91" zoomScaleNormal="91" workbookViewId="0">
      <pane xSplit="2" ySplit="6" topLeftCell="G7" activePane="bottomRight" state="frozen"/>
      <selection pane="topRight" activeCell="C1" sqref="C1"/>
      <selection pane="bottomLeft" activeCell="A6" sqref="A6"/>
      <selection pane="bottomRight"/>
    </sheetView>
  </sheetViews>
  <sheetFormatPr defaultRowHeight="12.75" x14ac:dyDescent="0.2"/>
  <cols>
    <col min="1" max="1" width="2.7109375" style="1" customWidth="1"/>
    <col min="2" max="2" width="45.7109375" style="1" customWidth="1"/>
    <col min="3" max="12" width="14.42578125" style="2" customWidth="1"/>
    <col min="13" max="13" width="125.5703125" style="1" bestFit="1" customWidth="1"/>
    <col min="14" max="16384" width="9.140625" style="1"/>
  </cols>
  <sheetData>
    <row r="2" spans="2:13" ht="18" x14ac:dyDescent="0.25">
      <c r="B2" s="95" t="s">
        <v>346</v>
      </c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2:13" x14ac:dyDescent="0.2">
      <c r="B3" s="1" t="s">
        <v>359</v>
      </c>
      <c r="C3" s="1" t="str">
        <f>Check!E4</f>
        <v>MODEL OK</v>
      </c>
    </row>
    <row r="5" spans="2:13" x14ac:dyDescent="0.2">
      <c r="C5" s="2" t="s">
        <v>100</v>
      </c>
      <c r="D5" s="2" t="s">
        <v>101</v>
      </c>
      <c r="E5" s="2" t="s">
        <v>102</v>
      </c>
      <c r="F5" s="2" t="s">
        <v>103</v>
      </c>
      <c r="G5" s="2" t="s">
        <v>104</v>
      </c>
      <c r="H5" s="2" t="s">
        <v>105</v>
      </c>
      <c r="I5" s="2" t="s">
        <v>106</v>
      </c>
      <c r="J5" s="2" t="s">
        <v>107</v>
      </c>
      <c r="K5" s="2" t="s">
        <v>108</v>
      </c>
      <c r="L5" s="2" t="s">
        <v>109</v>
      </c>
      <c r="M5" s="1" t="s">
        <v>0</v>
      </c>
    </row>
    <row r="6" spans="2:13" x14ac:dyDescent="0.2">
      <c r="B6" s="94" t="s">
        <v>317</v>
      </c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2:13" x14ac:dyDescent="0.2">
      <c r="B7" s="1" t="s">
        <v>26</v>
      </c>
      <c r="C7" s="3">
        <v>48548</v>
      </c>
      <c r="D7" s="3">
        <v>51706</v>
      </c>
      <c r="E7" s="3">
        <v>57825</v>
      </c>
      <c r="F7" s="3">
        <v>83039</v>
      </c>
      <c r="G7" s="3">
        <v>89274</v>
      </c>
      <c r="H7" s="60">
        <f>Capex_DA!H23</f>
        <v>94277.478000000003</v>
      </c>
      <c r="I7" s="59">
        <f>Capex_DA!I23</f>
        <v>99015.771666000001</v>
      </c>
      <c r="J7" s="59">
        <f>Capex_DA!J23</f>
        <v>103502.935767702</v>
      </c>
      <c r="K7" s="59">
        <f>Capex_DA!K23</f>
        <v>106276.31482399699</v>
      </c>
      <c r="L7" s="59">
        <f>Capex_DA!L23</f>
        <v>109341.61347935146</v>
      </c>
      <c r="M7" s="11" t="s">
        <v>59</v>
      </c>
    </row>
    <row r="8" spans="2:13" ht="15" x14ac:dyDescent="0.2">
      <c r="B8" s="1" t="s">
        <v>27</v>
      </c>
      <c r="C8" s="73">
        <v>6250</v>
      </c>
      <c r="D8" s="3">
        <v>6329</v>
      </c>
      <c r="E8" s="3">
        <v>6345</v>
      </c>
      <c r="F8" s="3">
        <v>7682</v>
      </c>
      <c r="G8" s="3">
        <v>7909</v>
      </c>
      <c r="H8" s="40">
        <f>G8</f>
        <v>7909</v>
      </c>
      <c r="I8" s="37">
        <f t="shared" ref="I8:L8" si="0">H8</f>
        <v>7909</v>
      </c>
      <c r="J8" s="37">
        <f t="shared" si="0"/>
        <v>7909</v>
      </c>
      <c r="K8" s="37">
        <f t="shared" si="0"/>
        <v>7909</v>
      </c>
      <c r="L8" s="37">
        <f t="shared" si="0"/>
        <v>7909</v>
      </c>
      <c r="M8" s="11" t="s">
        <v>60</v>
      </c>
    </row>
    <row r="9" spans="2:13" x14ac:dyDescent="0.2">
      <c r="B9" s="1" t="s">
        <v>28</v>
      </c>
      <c r="C9" s="3">
        <v>5474</v>
      </c>
      <c r="D9" s="3">
        <v>5585</v>
      </c>
      <c r="E9" s="3">
        <v>5518</v>
      </c>
      <c r="F9" s="3">
        <v>10077</v>
      </c>
      <c r="G9" s="3">
        <v>10353</v>
      </c>
      <c r="H9" s="40">
        <f t="shared" ref="H9:L11" si="1">G9</f>
        <v>10353</v>
      </c>
      <c r="I9" s="37">
        <f t="shared" si="1"/>
        <v>10353</v>
      </c>
      <c r="J9" s="37">
        <f t="shared" si="1"/>
        <v>10353</v>
      </c>
      <c r="K9" s="37">
        <f t="shared" si="1"/>
        <v>10353</v>
      </c>
      <c r="L9" s="37">
        <f t="shared" si="1"/>
        <v>10353</v>
      </c>
      <c r="M9" s="11" t="s">
        <v>61</v>
      </c>
    </row>
    <row r="10" spans="2:13" x14ac:dyDescent="0.2">
      <c r="B10" s="1" t="s">
        <v>29</v>
      </c>
      <c r="C10" s="3">
        <v>1372</v>
      </c>
      <c r="D10" s="3">
        <v>1460</v>
      </c>
      <c r="E10" s="3">
        <v>2764</v>
      </c>
      <c r="F10" s="3">
        <v>2297</v>
      </c>
      <c r="G10" s="3">
        <v>3004</v>
      </c>
      <c r="H10" s="40">
        <f t="shared" si="1"/>
        <v>3004</v>
      </c>
      <c r="I10" s="37">
        <f t="shared" si="1"/>
        <v>3004</v>
      </c>
      <c r="J10" s="37">
        <f t="shared" si="1"/>
        <v>3004</v>
      </c>
      <c r="K10" s="37">
        <f t="shared" si="1"/>
        <v>3004</v>
      </c>
      <c r="L10" s="37">
        <f t="shared" si="1"/>
        <v>3004</v>
      </c>
      <c r="M10" s="11" t="s">
        <v>62</v>
      </c>
    </row>
    <row r="11" spans="2:13" x14ac:dyDescent="0.2">
      <c r="B11" s="1" t="s">
        <v>30</v>
      </c>
      <c r="C11" s="3">
        <v>4694</v>
      </c>
      <c r="D11" s="3">
        <v>5564</v>
      </c>
      <c r="E11" s="3">
        <v>5191</v>
      </c>
      <c r="F11" s="3">
        <v>6864</v>
      </c>
      <c r="G11" s="3">
        <v>5589</v>
      </c>
      <c r="H11" s="40">
        <f t="shared" si="1"/>
        <v>5589</v>
      </c>
      <c r="I11" s="37">
        <f t="shared" si="1"/>
        <v>5589</v>
      </c>
      <c r="J11" s="37">
        <f t="shared" si="1"/>
        <v>5589</v>
      </c>
      <c r="K11" s="37">
        <f t="shared" si="1"/>
        <v>5589</v>
      </c>
      <c r="L11" s="37">
        <f t="shared" si="1"/>
        <v>5589</v>
      </c>
      <c r="M11" s="11" t="s">
        <v>63</v>
      </c>
    </row>
    <row r="12" spans="2:13" x14ac:dyDescent="0.2">
      <c r="B12" s="1" t="s">
        <v>31</v>
      </c>
      <c r="C12" s="3">
        <v>5596</v>
      </c>
      <c r="D12" s="3">
        <v>6612</v>
      </c>
      <c r="E12" s="3">
        <v>8330</v>
      </c>
      <c r="F12" s="3">
        <v>9563</v>
      </c>
      <c r="G12" s="3">
        <v>9694</v>
      </c>
      <c r="H12" s="60">
        <f>WC!H14</f>
        <v>10853.615090625874</v>
      </c>
      <c r="I12" s="59">
        <f>WC!I14</f>
        <v>12041.631738059465</v>
      </c>
      <c r="J12" s="59">
        <f>WC!J14</f>
        <v>13244.644899948582</v>
      </c>
      <c r="K12" s="59">
        <f>WC!K14</f>
        <v>14440.627975197707</v>
      </c>
      <c r="L12" s="59">
        <f>WC!L14</f>
        <v>15744.888903253566</v>
      </c>
      <c r="M12" s="11" t="s">
        <v>64</v>
      </c>
    </row>
    <row r="13" spans="2:13" x14ac:dyDescent="0.2">
      <c r="B13" s="1" t="s">
        <v>32</v>
      </c>
      <c r="C13" s="3">
        <v>3072</v>
      </c>
      <c r="D13" s="3">
        <v>3867</v>
      </c>
      <c r="E13" s="3">
        <v>4278</v>
      </c>
      <c r="F13" s="3">
        <v>5890</v>
      </c>
      <c r="G13" s="3">
        <v>6029</v>
      </c>
      <c r="H13" s="60">
        <f>WC!H13</f>
        <v>6512.1690543755249</v>
      </c>
      <c r="I13" s="59">
        <f>WC!I13</f>
        <v>6923.9382493841922</v>
      </c>
      <c r="J13" s="59">
        <f>WC!J13</f>
        <v>7284.55469497172</v>
      </c>
      <c r="K13" s="59">
        <f>WC!K13</f>
        <v>7942.3453863587383</v>
      </c>
      <c r="L13" s="59">
        <f>WC!L13</f>
        <v>8659.6888967894611</v>
      </c>
      <c r="M13" s="11" t="s">
        <v>65</v>
      </c>
    </row>
    <row r="14" spans="2:13" x14ac:dyDescent="0.2">
      <c r="B14" s="1" t="s">
        <v>56</v>
      </c>
      <c r="C14" s="3">
        <v>359</v>
      </c>
      <c r="D14" s="3">
        <v>1149.55</v>
      </c>
      <c r="E14" s="3">
        <v>783</v>
      </c>
      <c r="F14" s="3">
        <v>1673</v>
      </c>
      <c r="G14" s="3">
        <v>1384</v>
      </c>
      <c r="H14" s="60">
        <f>CF!H22</f>
        <v>1923.6238223960959</v>
      </c>
      <c r="I14" s="59">
        <f>CF!I22</f>
        <v>2039.6713950548301</v>
      </c>
      <c r="J14" s="59">
        <f>CF!J22</f>
        <v>2034.3613376483013</v>
      </c>
      <c r="K14" s="59">
        <f>CF!K22</f>
        <v>3095.7836437538258</v>
      </c>
      <c r="L14" s="59">
        <f>CF!L22</f>
        <v>4615.7647143065606</v>
      </c>
      <c r="M14" s="11" t="s">
        <v>66</v>
      </c>
    </row>
    <row r="15" spans="2:13" x14ac:dyDescent="0.2">
      <c r="B15" s="1" t="s">
        <v>33</v>
      </c>
      <c r="C15" s="3">
        <v>4963.55</v>
      </c>
      <c r="D15" s="3">
        <v>5836.75</v>
      </c>
      <c r="E15" s="3">
        <v>5485.26</v>
      </c>
      <c r="F15" s="3">
        <v>2859</v>
      </c>
      <c r="G15" s="3">
        <v>3736</v>
      </c>
      <c r="H15" s="40">
        <f>G15</f>
        <v>3736</v>
      </c>
      <c r="I15" s="37">
        <f t="shared" ref="I15:L15" si="2">H15</f>
        <v>3736</v>
      </c>
      <c r="J15" s="37">
        <f t="shared" si="2"/>
        <v>3736</v>
      </c>
      <c r="K15" s="37">
        <f t="shared" si="2"/>
        <v>3736</v>
      </c>
      <c r="L15" s="37">
        <f t="shared" si="2"/>
        <v>3736</v>
      </c>
      <c r="M15" s="11" t="s">
        <v>67</v>
      </c>
    </row>
    <row r="16" spans="2:13" x14ac:dyDescent="0.2">
      <c r="B16" s="1" t="s">
        <v>34</v>
      </c>
      <c r="C16" s="3">
        <v>3500</v>
      </c>
      <c r="D16" s="3">
        <v>3277.65</v>
      </c>
      <c r="E16" s="3">
        <v>4282.26</v>
      </c>
      <c r="F16" s="3">
        <v>3752</v>
      </c>
      <c r="G16" s="3">
        <v>4404</v>
      </c>
      <c r="H16" s="40">
        <f>G16</f>
        <v>4404</v>
      </c>
      <c r="I16" s="37">
        <f t="shared" ref="I16:L16" si="3">H16</f>
        <v>4404</v>
      </c>
      <c r="J16" s="37">
        <f t="shared" si="3"/>
        <v>4404</v>
      </c>
      <c r="K16" s="37">
        <f t="shared" si="3"/>
        <v>4404</v>
      </c>
      <c r="L16" s="37">
        <f t="shared" si="3"/>
        <v>4404</v>
      </c>
      <c r="M16" s="11" t="s">
        <v>68</v>
      </c>
    </row>
    <row r="17" spans="2:13" x14ac:dyDescent="0.2">
      <c r="B17" s="4" t="s">
        <v>35</v>
      </c>
      <c r="C17" s="2">
        <f>SUM(C7:C16)</f>
        <v>83828.55</v>
      </c>
      <c r="D17" s="2">
        <f t="shared" ref="D17:L17" si="4">SUM(D7:D16)</f>
        <v>91386.95</v>
      </c>
      <c r="E17" s="2">
        <f t="shared" si="4"/>
        <v>100801.51999999999</v>
      </c>
      <c r="F17" s="2">
        <f t="shared" si="4"/>
        <v>133696</v>
      </c>
      <c r="G17" s="2">
        <f t="shared" si="4"/>
        <v>141376</v>
      </c>
      <c r="H17" s="21">
        <f t="shared" si="4"/>
        <v>148561.88596739751</v>
      </c>
      <c r="I17" s="19">
        <f t="shared" si="4"/>
        <v>155016.01304849851</v>
      </c>
      <c r="J17" s="19">
        <f t="shared" si="4"/>
        <v>161061.4967002706</v>
      </c>
      <c r="K17" s="19">
        <f t="shared" si="4"/>
        <v>166750.07182930724</v>
      </c>
      <c r="L17" s="19">
        <f t="shared" si="4"/>
        <v>173356.95599370103</v>
      </c>
      <c r="M17" s="11" t="s">
        <v>69</v>
      </c>
    </row>
    <row r="19" spans="2:13" x14ac:dyDescent="0.2">
      <c r="B19" s="94" t="s">
        <v>113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</row>
    <row r="20" spans="2:13" x14ac:dyDescent="0.2">
      <c r="B20" s="1" t="s">
        <v>36</v>
      </c>
      <c r="C20" s="3">
        <v>289</v>
      </c>
      <c r="D20" s="3">
        <v>289</v>
      </c>
      <c r="E20" s="3">
        <v>289</v>
      </c>
      <c r="F20" s="3">
        <v>295</v>
      </c>
      <c r="G20" s="3">
        <v>295</v>
      </c>
      <c r="H20" s="40">
        <f>G20</f>
        <v>295</v>
      </c>
      <c r="I20" s="37">
        <f t="shared" ref="I20:L20" si="5">H20</f>
        <v>295</v>
      </c>
      <c r="J20" s="37">
        <f t="shared" si="5"/>
        <v>295</v>
      </c>
      <c r="K20" s="37">
        <f t="shared" si="5"/>
        <v>295</v>
      </c>
      <c r="L20" s="37">
        <f t="shared" si="5"/>
        <v>295</v>
      </c>
      <c r="M20" s="11" t="s">
        <v>70</v>
      </c>
    </row>
    <row r="21" spans="2:13" x14ac:dyDescent="0.2">
      <c r="B21" s="1" t="s">
        <v>55</v>
      </c>
      <c r="C21" s="3">
        <v>50147</v>
      </c>
      <c r="D21" s="3">
        <v>54036</v>
      </c>
      <c r="E21" s="3">
        <v>59938.51</v>
      </c>
      <c r="F21" s="3">
        <v>70412</v>
      </c>
      <c r="G21" s="3">
        <v>76329</v>
      </c>
      <c r="H21" s="40">
        <f>G21+IS!H33-Fin_Inputs!H12</f>
        <v>82328.935705373602</v>
      </c>
      <c r="I21" s="37">
        <f>H21+IS!I33-Fin_Inputs!I12</f>
        <v>89504.724119099788</v>
      </c>
      <c r="J21" s="37">
        <f>I21+IS!J33-Fin_Inputs!J12</f>
        <v>97252.90704299057</v>
      </c>
      <c r="K21" s="37">
        <f>J21+IS!K33-Fin_Inputs!K12</f>
        <v>105648.48949030465</v>
      </c>
      <c r="L21" s="37">
        <f>K21+IS!L33-Fin_Inputs!L12</f>
        <v>114845.20286219649</v>
      </c>
      <c r="M21" s="11" t="s">
        <v>71</v>
      </c>
    </row>
    <row r="22" spans="2:13" x14ac:dyDescent="0.2">
      <c r="B22" s="1" t="s">
        <v>37</v>
      </c>
      <c r="C22" s="3">
        <v>-3.49</v>
      </c>
      <c r="D22" s="3">
        <v>56</v>
      </c>
      <c r="E22" s="3">
        <v>55.8</v>
      </c>
      <c r="F22" s="3">
        <v>3187</v>
      </c>
      <c r="G22" s="3">
        <v>4089</v>
      </c>
      <c r="H22" s="40">
        <f>G22+IS!H32</f>
        <v>4115.6544168667206</v>
      </c>
      <c r="I22" s="37">
        <f>H22+IS!I32</f>
        <v>4146.5756044362497</v>
      </c>
      <c r="J22" s="37">
        <f>I22+IS!J32</f>
        <v>4180.7125123340029</v>
      </c>
      <c r="K22" s="37">
        <f>J22+IS!K32</f>
        <v>4217.9229650449988</v>
      </c>
      <c r="L22" s="37">
        <f>K22+IS!L32</f>
        <v>4258.6197830883066</v>
      </c>
      <c r="M22" s="11" t="s">
        <v>72</v>
      </c>
    </row>
    <row r="23" spans="2:13" x14ac:dyDescent="0.2">
      <c r="B23" s="4" t="s">
        <v>38</v>
      </c>
      <c r="C23" s="2">
        <f>SUM(C20:C22)</f>
        <v>50432.51</v>
      </c>
      <c r="D23" s="2">
        <f t="shared" ref="D23:L23" si="6">SUM(D20:D22)</f>
        <v>54381</v>
      </c>
      <c r="E23" s="2">
        <f t="shared" si="6"/>
        <v>60283.310000000005</v>
      </c>
      <c r="F23" s="2">
        <f t="shared" si="6"/>
        <v>73894</v>
      </c>
      <c r="G23" s="2">
        <f t="shared" si="6"/>
        <v>80713</v>
      </c>
      <c r="H23" s="21">
        <f t="shared" si="6"/>
        <v>86739.590122240319</v>
      </c>
      <c r="I23" s="19">
        <f t="shared" si="6"/>
        <v>93946.299723536038</v>
      </c>
      <c r="J23" s="19">
        <f t="shared" si="6"/>
        <v>101728.61955532458</v>
      </c>
      <c r="K23" s="19">
        <f t="shared" si="6"/>
        <v>110161.41245534965</v>
      </c>
      <c r="L23" s="19">
        <f t="shared" si="6"/>
        <v>119398.82264528479</v>
      </c>
      <c r="M23" s="11" t="s">
        <v>73</v>
      </c>
    </row>
    <row r="25" spans="2:13" x14ac:dyDescent="0.2">
      <c r="B25" s="94" t="s">
        <v>114</v>
      </c>
      <c r="C25" s="94"/>
      <c r="D25" s="94"/>
      <c r="E25" s="94"/>
      <c r="F25" s="94"/>
      <c r="G25" s="94"/>
      <c r="H25" s="94"/>
      <c r="I25" s="94"/>
      <c r="J25" s="94"/>
      <c r="K25" s="94"/>
      <c r="L25" s="94"/>
    </row>
    <row r="26" spans="2:13" x14ac:dyDescent="0.2">
      <c r="B26" s="1" t="s">
        <v>39</v>
      </c>
      <c r="C26" s="3">
        <v>5302.51</v>
      </c>
      <c r="D26" s="3">
        <v>5356.45</v>
      </c>
      <c r="E26" s="3">
        <v>5307.75</v>
      </c>
      <c r="F26" s="3">
        <v>15781</v>
      </c>
      <c r="G26" s="3">
        <v>15019</v>
      </c>
      <c r="H26" s="60">
        <f>Debt!H12</f>
        <v>15019</v>
      </c>
      <c r="I26" s="59">
        <f>Debt!I12</f>
        <v>13019</v>
      </c>
      <c r="J26" s="59">
        <f>Debt!J12</f>
        <v>10019</v>
      </c>
      <c r="K26" s="59">
        <f>Debt!K12</f>
        <v>6019</v>
      </c>
      <c r="L26" s="59">
        <f>Debt!L12</f>
        <v>2019</v>
      </c>
      <c r="M26" s="11" t="s">
        <v>74</v>
      </c>
    </row>
    <row r="27" spans="2:13" x14ac:dyDescent="0.2">
      <c r="B27" s="1" t="s">
        <v>40</v>
      </c>
      <c r="C27" s="3">
        <v>4900</v>
      </c>
      <c r="D27" s="3">
        <v>4544.45</v>
      </c>
      <c r="E27" s="3">
        <v>4990.55</v>
      </c>
      <c r="F27" s="3">
        <v>7250</v>
      </c>
      <c r="G27" s="3">
        <v>7762</v>
      </c>
      <c r="H27" s="60">
        <f>Debt!H13</f>
        <v>7762</v>
      </c>
      <c r="I27" s="59">
        <f>Debt!I13</f>
        <v>7762</v>
      </c>
      <c r="J27" s="59">
        <f>Debt!J13</f>
        <v>7762</v>
      </c>
      <c r="K27" s="59">
        <f>Debt!K13</f>
        <v>7762</v>
      </c>
      <c r="L27" s="59">
        <f>Debt!L13</f>
        <v>7762</v>
      </c>
      <c r="M27" s="11" t="s">
        <v>75</v>
      </c>
    </row>
    <row r="28" spans="2:13" x14ac:dyDescent="0.2">
      <c r="B28" s="1" t="s">
        <v>41</v>
      </c>
      <c r="C28" s="3">
        <v>1096.4000000000001</v>
      </c>
      <c r="D28" s="3">
        <v>1157</v>
      </c>
      <c r="E28" s="3">
        <v>1105</v>
      </c>
      <c r="F28" s="3">
        <v>1071</v>
      </c>
      <c r="G28" s="3">
        <v>974</v>
      </c>
      <c r="H28" s="40">
        <f>G28</f>
        <v>974</v>
      </c>
      <c r="I28" s="37">
        <f t="shared" ref="I28:L28" si="7">H28</f>
        <v>974</v>
      </c>
      <c r="J28" s="37">
        <f t="shared" si="7"/>
        <v>974</v>
      </c>
      <c r="K28" s="37">
        <f t="shared" si="7"/>
        <v>974</v>
      </c>
      <c r="L28" s="37">
        <f t="shared" si="7"/>
        <v>974</v>
      </c>
      <c r="M28" s="11" t="s">
        <v>76</v>
      </c>
    </row>
    <row r="29" spans="2:13" x14ac:dyDescent="0.2">
      <c r="B29" s="1" t="s">
        <v>42</v>
      </c>
      <c r="C29" s="3">
        <v>5863</v>
      </c>
      <c r="D29" s="3">
        <v>7208.5</v>
      </c>
      <c r="E29" s="3">
        <v>8477.75</v>
      </c>
      <c r="F29" s="3">
        <v>9327</v>
      </c>
      <c r="G29" s="3">
        <v>10237</v>
      </c>
      <c r="H29" s="60">
        <f>WC!H15</f>
        <v>11396.295845157169</v>
      </c>
      <c r="I29" s="59">
        <f>WC!I15</f>
        <v>12643.713324962438</v>
      </c>
      <c r="J29" s="59">
        <f>WC!J15</f>
        <v>13906.877144946009</v>
      </c>
      <c r="K29" s="59">
        <f>WC!K15</f>
        <v>15162.659373957593</v>
      </c>
      <c r="L29" s="59">
        <f>WC!L15</f>
        <v>16532.133348416242</v>
      </c>
      <c r="M29" s="11" t="s">
        <v>77</v>
      </c>
    </row>
    <row r="30" spans="2:13" x14ac:dyDescent="0.2">
      <c r="B30" s="1" t="s">
        <v>43</v>
      </c>
      <c r="C30" s="3">
        <v>6033</v>
      </c>
      <c r="D30" s="3">
        <v>6260</v>
      </c>
      <c r="E30" s="3">
        <v>6447.75</v>
      </c>
      <c r="F30" s="3">
        <v>9579</v>
      </c>
      <c r="G30" s="3">
        <v>9890</v>
      </c>
      <c r="H30" s="40">
        <f>G30</f>
        <v>9890</v>
      </c>
      <c r="I30" s="37">
        <f t="shared" ref="I30:L30" si="8">H30</f>
        <v>9890</v>
      </c>
      <c r="J30" s="37">
        <f t="shared" si="8"/>
        <v>9890</v>
      </c>
      <c r="K30" s="37">
        <f t="shared" si="8"/>
        <v>9890</v>
      </c>
      <c r="L30" s="37">
        <f t="shared" si="8"/>
        <v>9890</v>
      </c>
      <c r="M30" s="11" t="s">
        <v>78</v>
      </c>
    </row>
    <row r="31" spans="2:13" x14ac:dyDescent="0.2">
      <c r="B31" s="1" t="s">
        <v>44</v>
      </c>
      <c r="C31" s="3">
        <v>926</v>
      </c>
      <c r="D31" s="3">
        <v>948</v>
      </c>
      <c r="E31" s="3">
        <v>914.75</v>
      </c>
      <c r="F31" s="3">
        <v>1210</v>
      </c>
      <c r="G31" s="3">
        <v>1171</v>
      </c>
      <c r="H31" s="40">
        <f>G31</f>
        <v>1171</v>
      </c>
      <c r="I31" s="37">
        <f t="shared" ref="I31:L31" si="9">H31</f>
        <v>1171</v>
      </c>
      <c r="J31" s="37">
        <f t="shared" si="9"/>
        <v>1171</v>
      </c>
      <c r="K31" s="37">
        <f t="shared" si="9"/>
        <v>1171</v>
      </c>
      <c r="L31" s="37">
        <f t="shared" si="9"/>
        <v>1171</v>
      </c>
      <c r="M31" s="11" t="s">
        <v>79</v>
      </c>
    </row>
    <row r="32" spans="2:13" x14ac:dyDescent="0.2">
      <c r="B32" s="1" t="s">
        <v>45</v>
      </c>
      <c r="C32" s="3">
        <v>9274.75</v>
      </c>
      <c r="D32" s="3">
        <v>11532</v>
      </c>
      <c r="E32" s="3">
        <v>13274.75</v>
      </c>
      <c r="F32" s="3">
        <v>15584</v>
      </c>
      <c r="G32" s="3">
        <v>15610</v>
      </c>
      <c r="H32" s="40">
        <f>G32</f>
        <v>15610</v>
      </c>
      <c r="I32" s="37">
        <f t="shared" ref="I32:L32" si="10">H32</f>
        <v>15610</v>
      </c>
      <c r="J32" s="37">
        <f t="shared" si="10"/>
        <v>15610</v>
      </c>
      <c r="K32" s="37">
        <f t="shared" si="10"/>
        <v>15610</v>
      </c>
      <c r="L32" s="37">
        <f t="shared" si="10"/>
        <v>15610</v>
      </c>
      <c r="M32" s="11" t="s">
        <v>80</v>
      </c>
    </row>
    <row r="33" spans="2:13" x14ac:dyDescent="0.2">
      <c r="B33" s="4" t="s">
        <v>46</v>
      </c>
      <c r="C33" s="2">
        <f xml:space="preserve"> SUM(C26:C32)</f>
        <v>33395.660000000003</v>
      </c>
      <c r="D33" s="2">
        <f xml:space="preserve"> SUM(D26:D32)</f>
        <v>37006.400000000001</v>
      </c>
      <c r="E33" s="2">
        <f xml:space="preserve"> SUM(E26:E32)</f>
        <v>40518.300000000003</v>
      </c>
      <c r="F33" s="2">
        <f xml:space="preserve"> SUM(F26:F32)</f>
        <v>59802</v>
      </c>
      <c r="G33" s="2">
        <f xml:space="preserve"> SUM(G26:G32)</f>
        <v>60663</v>
      </c>
      <c r="H33" s="21">
        <f t="shared" ref="H33:L33" si="11" xml:space="preserve"> SUM(H26:H32)</f>
        <v>61822.295845157169</v>
      </c>
      <c r="I33" s="19">
        <f t="shared" si="11"/>
        <v>61069.713324962438</v>
      </c>
      <c r="J33" s="19">
        <f t="shared" si="11"/>
        <v>59332.877144946011</v>
      </c>
      <c r="K33" s="19">
        <f t="shared" si="11"/>
        <v>56588.659373957591</v>
      </c>
      <c r="L33" s="19">
        <f t="shared" si="11"/>
        <v>53958.133348416246</v>
      </c>
      <c r="M33" s="11" t="s">
        <v>81</v>
      </c>
    </row>
    <row r="34" spans="2:13" x14ac:dyDescent="0.2">
      <c r="B34" s="4"/>
      <c r="M34" s="7"/>
    </row>
    <row r="35" spans="2:13" x14ac:dyDescent="0.2">
      <c r="B35" s="1" t="s">
        <v>47</v>
      </c>
      <c r="C35" s="2">
        <f>C33+C23</f>
        <v>83828.170000000013</v>
      </c>
      <c r="D35" s="2">
        <f>D33+D23</f>
        <v>91387.4</v>
      </c>
      <c r="E35" s="2">
        <f>E33+E23</f>
        <v>100801.61000000002</v>
      </c>
      <c r="F35" s="2">
        <f>F33+F23</f>
        <v>133696</v>
      </c>
      <c r="G35" s="2">
        <f>G33+G23</f>
        <v>141376</v>
      </c>
      <c r="H35" s="21">
        <f t="shared" ref="H35:L35" si="12">H33+H23</f>
        <v>148561.88596739748</v>
      </c>
      <c r="I35" s="19">
        <f t="shared" si="12"/>
        <v>155016.01304849848</v>
      </c>
      <c r="J35" s="19">
        <f t="shared" si="12"/>
        <v>161061.4967002706</v>
      </c>
      <c r="K35" s="19">
        <f t="shared" si="12"/>
        <v>166750.07182930724</v>
      </c>
      <c r="L35" s="19">
        <f t="shared" si="12"/>
        <v>173356.95599370103</v>
      </c>
      <c r="M35" s="11" t="s">
        <v>82</v>
      </c>
    </row>
    <row r="36" spans="2:13" x14ac:dyDescent="0.2">
      <c r="B36" s="4" t="s">
        <v>48</v>
      </c>
      <c r="C36" s="2">
        <f>ROUND(C17-C35,0)</f>
        <v>0</v>
      </c>
      <c r="D36" s="2">
        <f t="shared" ref="D36:L36" si="13">ROUND(D17-D35,0)</f>
        <v>0</v>
      </c>
      <c r="E36" s="2">
        <f t="shared" si="13"/>
        <v>0</v>
      </c>
      <c r="F36" s="2">
        <f t="shared" si="13"/>
        <v>0</v>
      </c>
      <c r="G36" s="2">
        <f t="shared" si="13"/>
        <v>0</v>
      </c>
      <c r="H36" s="21">
        <f t="shared" si="13"/>
        <v>0</v>
      </c>
      <c r="I36" s="19">
        <f t="shared" si="13"/>
        <v>0</v>
      </c>
      <c r="J36" s="19">
        <f t="shared" si="13"/>
        <v>0</v>
      </c>
      <c r="K36" s="19">
        <f t="shared" si="13"/>
        <v>0</v>
      </c>
      <c r="L36" s="19">
        <f t="shared" si="13"/>
        <v>0</v>
      </c>
      <c r="M36" s="11" t="s">
        <v>437</v>
      </c>
    </row>
    <row r="37" spans="2:13" x14ac:dyDescent="0.2">
      <c r="M37" s="6"/>
    </row>
    <row r="38" spans="2:13" x14ac:dyDescent="0.2">
      <c r="B38" s="94" t="s">
        <v>115</v>
      </c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6"/>
    </row>
    <row r="39" spans="2:13" x14ac:dyDescent="0.2">
      <c r="B39" s="1" t="s">
        <v>49</v>
      </c>
      <c r="C39" s="2">
        <f t="shared" ref="C39:L39" si="14">C26+C27</f>
        <v>10202.51</v>
      </c>
      <c r="D39" s="2">
        <f t="shared" si="14"/>
        <v>9900.9</v>
      </c>
      <c r="E39" s="2">
        <f t="shared" si="14"/>
        <v>10298.299999999999</v>
      </c>
      <c r="F39" s="2">
        <f t="shared" si="14"/>
        <v>23031</v>
      </c>
      <c r="G39" s="2">
        <f t="shared" si="14"/>
        <v>22781</v>
      </c>
      <c r="H39" s="21">
        <f t="shared" si="14"/>
        <v>22781</v>
      </c>
      <c r="I39" s="19">
        <f t="shared" si="14"/>
        <v>20781</v>
      </c>
      <c r="J39" s="19">
        <f t="shared" si="14"/>
        <v>17781</v>
      </c>
      <c r="K39" s="19">
        <f t="shared" si="14"/>
        <v>13781</v>
      </c>
      <c r="L39" s="19">
        <f t="shared" si="14"/>
        <v>9781</v>
      </c>
      <c r="M39" s="11" t="s">
        <v>83</v>
      </c>
    </row>
    <row r="40" spans="2:13" x14ac:dyDescent="0.2">
      <c r="B40" s="1" t="s">
        <v>50</v>
      </c>
      <c r="C40" s="2">
        <f t="shared" ref="C40:L40" si="15">C39-C14-C15</f>
        <v>4879.96</v>
      </c>
      <c r="D40" s="2">
        <f t="shared" si="15"/>
        <v>2914.6000000000004</v>
      </c>
      <c r="E40" s="2">
        <f t="shared" si="15"/>
        <v>4030.0399999999991</v>
      </c>
      <c r="F40" s="2">
        <f t="shared" si="15"/>
        <v>18499</v>
      </c>
      <c r="G40" s="2">
        <f t="shared" si="15"/>
        <v>17661</v>
      </c>
      <c r="H40" s="21">
        <f t="shared" si="15"/>
        <v>17121.376177603903</v>
      </c>
      <c r="I40" s="19">
        <f t="shared" si="15"/>
        <v>15005.328604945171</v>
      </c>
      <c r="J40" s="19">
        <f t="shared" si="15"/>
        <v>12010.638662351699</v>
      </c>
      <c r="K40" s="19">
        <f t="shared" si="15"/>
        <v>6949.2163562461737</v>
      </c>
      <c r="L40" s="19">
        <f t="shared" si="15"/>
        <v>1429.2352856934394</v>
      </c>
      <c r="M40" s="11" t="s">
        <v>438</v>
      </c>
    </row>
    <row r="41" spans="2:13" x14ac:dyDescent="0.2">
      <c r="B41" s="1" t="s">
        <v>329</v>
      </c>
      <c r="C41" s="10">
        <f>C40/IS!C22</f>
        <v>0.42379157620495006</v>
      </c>
      <c r="D41" s="10">
        <f>D40/IS!D22</f>
        <v>0.27444444444444449</v>
      </c>
      <c r="E41" s="10">
        <f>E40/IS!E22</f>
        <v>0.31074408204179188</v>
      </c>
      <c r="F41" s="10">
        <f>F40/IS!F22</f>
        <v>1.4732021979772238</v>
      </c>
      <c r="G41" s="10">
        <f>G40/IS!G22</f>
        <v>1.0375683032018861</v>
      </c>
      <c r="H41" s="77">
        <f>H40/IS!H22</f>
        <v>0.94657122262049831</v>
      </c>
      <c r="I41" s="76">
        <f>I40/IS!I22</f>
        <v>0.74527643563016144</v>
      </c>
      <c r="J41" s="76">
        <f>J40/IS!J22</f>
        <v>0.55580707322490497</v>
      </c>
      <c r="K41" s="76">
        <f>K40/IS!K22</f>
        <v>0.30349794367605132</v>
      </c>
      <c r="L41" s="76">
        <f>L40/IS!L22</f>
        <v>5.9034798343811611E-2</v>
      </c>
      <c r="M41" s="11" t="s">
        <v>84</v>
      </c>
    </row>
    <row r="42" spans="2:13" x14ac:dyDescent="0.2">
      <c r="B42" s="1" t="s">
        <v>52</v>
      </c>
      <c r="C42" s="9">
        <f>(C13/IS!C7)*365</f>
        <v>21.317515542120571</v>
      </c>
      <c r="D42" s="9">
        <f>(D13/IS!D7)*365</f>
        <v>22.319022770398483</v>
      </c>
      <c r="E42" s="9">
        <f>(E13/IS!E7)*365</f>
        <v>22.020759000973079</v>
      </c>
      <c r="F42" s="9">
        <f>(F13/IS!F7)*365</f>
        <v>28.304259100783359</v>
      </c>
      <c r="G42" s="9">
        <f>(G13/IS!G7)*365</f>
        <v>24.862128131781251</v>
      </c>
      <c r="H42" s="32">
        <f>(H13/IS!H7)*365</f>
        <v>24.000000000000004</v>
      </c>
      <c r="I42" s="28">
        <f>(I13/IS!I7)*365</f>
        <v>23</v>
      </c>
      <c r="J42" s="28">
        <f>(J13/IS!J7)*365</f>
        <v>22</v>
      </c>
      <c r="K42" s="28">
        <f>(K13/IS!K7)*365</f>
        <v>22</v>
      </c>
      <c r="L42" s="28">
        <f>(L13/IS!L7)*365</f>
        <v>22</v>
      </c>
      <c r="M42" s="11" t="s">
        <v>85</v>
      </c>
    </row>
    <row r="43" spans="2:13" x14ac:dyDescent="0.2">
      <c r="B43" s="1" t="s">
        <v>51</v>
      </c>
      <c r="C43" s="9">
        <f>(C12/IS!C7)*365</f>
        <v>38.832297191961828</v>
      </c>
      <c r="D43" s="9">
        <f>(D12/IS!D7)*365</f>
        <v>38.162239089184062</v>
      </c>
      <c r="E43" s="9">
        <f>(E12/IS!E7)*365</f>
        <v>42.878195997687179</v>
      </c>
      <c r="F43" s="9">
        <f>(F12/IS!F7)*365</f>
        <v>45.954775854124158</v>
      </c>
      <c r="G43" s="9">
        <f>(G12/IS!G7)*365</f>
        <v>39.975695821775986</v>
      </c>
      <c r="H43" s="32">
        <f>(H12/IS!H7)*365</f>
        <v>40</v>
      </c>
      <c r="I43" s="28">
        <f>(I12/IS!I7)*365</f>
        <v>40</v>
      </c>
      <c r="J43" s="28">
        <f>(J12/IS!J7)*365</f>
        <v>40</v>
      </c>
      <c r="K43" s="28">
        <f>(K12/IS!K7)*365</f>
        <v>40</v>
      </c>
      <c r="L43" s="28">
        <f>(L12/IS!L7)*365</f>
        <v>40</v>
      </c>
      <c r="M43" s="11" t="s">
        <v>86</v>
      </c>
    </row>
    <row r="44" spans="2:13" x14ac:dyDescent="0.2">
      <c r="B44" s="1" t="s">
        <v>53</v>
      </c>
      <c r="C44" s="9">
        <f>(C29/IS!C7)*365</f>
        <v>40.685089070134417</v>
      </c>
      <c r="D44" s="9">
        <f>(D29/IS!D7)*365</f>
        <v>41.605036369386461</v>
      </c>
      <c r="E44" s="9">
        <f>(E29/IS!E7)*365</f>
        <v>43.638730626577726</v>
      </c>
      <c r="F44" s="9">
        <f>(F29/IS!F7)*365</f>
        <v>44.820683299321963</v>
      </c>
      <c r="G44" s="9">
        <f>(G29/IS!G7)*365</f>
        <v>42.214895618683805</v>
      </c>
      <c r="H44" s="32">
        <f>(H29/IS!H7)*365</f>
        <v>42.000000000000007</v>
      </c>
      <c r="I44" s="28">
        <f>(I29/IS!I7)*365</f>
        <v>42</v>
      </c>
      <c r="J44" s="28">
        <f>(J29/IS!J7)*365</f>
        <v>41.999999999999993</v>
      </c>
      <c r="K44" s="28">
        <f>(K29/IS!K7)*365</f>
        <v>42.000000000000007</v>
      </c>
      <c r="L44" s="28">
        <f>(L29/IS!L7)*365</f>
        <v>42</v>
      </c>
      <c r="M44" s="11" t="s">
        <v>87</v>
      </c>
    </row>
    <row r="45" spans="2:13" x14ac:dyDescent="0.2">
      <c r="B45" s="1" t="s">
        <v>54</v>
      </c>
      <c r="C45" s="5"/>
      <c r="D45" s="5">
        <f>(IS!D33)/(SUM(C20:D21)/2)</f>
        <v>9.6669371235478849E-2</v>
      </c>
      <c r="E45" s="5">
        <f>(IS!E33)/(SUM(D20:E21)/2)</f>
        <v>0.12231054561790046</v>
      </c>
      <c r="F45" s="5">
        <f>(IS!F33)/(SUM(E20:F21)/2)</f>
        <v>9.2240311587831192E-2</v>
      </c>
      <c r="G45" s="5">
        <f>(IS!G33)/(SUM(F20:G21)/2)</f>
        <v>0.11085691402352525</v>
      </c>
      <c r="H45" s="54">
        <f>(IS!H33)/(SUM(G20:H21)/2)</f>
        <v>0.11124980887365686</v>
      </c>
      <c r="I45" s="53">
        <f>(IS!I33)/(SUM(H20:I21)/2)</f>
        <v>0.11919641824176598</v>
      </c>
      <c r="J45" s="53">
        <f>(IS!J33)/(SUM(I20:J21)/2)</f>
        <v>0.12110996355793631</v>
      </c>
      <c r="K45" s="53">
        <f>(IS!K33)/(SUM(J20:K21)/2)</f>
        <v>0.1215409987346993</v>
      </c>
      <c r="L45" s="53">
        <f>(IS!L33)/(SUM(K20:L21)/2)</f>
        <v>0.1223510341488968</v>
      </c>
      <c r="M45" s="11" t="s">
        <v>88</v>
      </c>
    </row>
  </sheetData>
  <mergeCells count="5">
    <mergeCell ref="B2:L2"/>
    <mergeCell ref="B6:L6"/>
    <mergeCell ref="B19:L19"/>
    <mergeCell ref="B25:L25"/>
    <mergeCell ref="B38:L38"/>
  </mergeCells>
  <conditionalFormatting sqref="C3">
    <cfRule type="containsText" dxfId="11" priority="1" operator="containsText" text="OK">
      <formula>NOT(ISERROR(SEARCH("OK",C3)))</formula>
    </cfRule>
  </conditionalFormatting>
  <pageMargins left="0.7" right="0.7" top="0.75" bottom="0.75" header="0.3" footer="0.3"/>
  <ignoredErrors>
    <ignoredError sqref="H29:L2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1D12-1BBA-45C9-8B50-A57AD8C6CAAF}">
  <sheetPr>
    <tabColor theme="8" tint="0.39997558519241921"/>
  </sheetPr>
  <dimension ref="B2:M31"/>
  <sheetViews>
    <sheetView zoomScale="84" zoomScaleNormal="90" workbookViewId="0"/>
  </sheetViews>
  <sheetFormatPr defaultRowHeight="12.75" x14ac:dyDescent="0.2"/>
  <cols>
    <col min="1" max="1" width="2.7109375" style="1" customWidth="1"/>
    <col min="2" max="2" width="45.7109375" style="1" customWidth="1"/>
    <col min="3" max="12" width="14.42578125" style="2" customWidth="1"/>
    <col min="13" max="13" width="147.85546875" style="1" bestFit="1" customWidth="1"/>
    <col min="14" max="16384" width="9.140625" style="1"/>
  </cols>
  <sheetData>
    <row r="2" spans="2:13" ht="18" x14ac:dyDescent="0.25">
      <c r="B2" s="95" t="s">
        <v>347</v>
      </c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2:13" x14ac:dyDescent="0.2">
      <c r="B3" s="1" t="s">
        <v>359</v>
      </c>
      <c r="C3" s="1" t="str">
        <f>Check!E4</f>
        <v>MODEL OK</v>
      </c>
    </row>
    <row r="5" spans="2:13" x14ac:dyDescent="0.2">
      <c r="C5" s="2" t="s">
        <v>100</v>
      </c>
      <c r="D5" s="2" t="s">
        <v>101</v>
      </c>
      <c r="E5" s="2" t="s">
        <v>102</v>
      </c>
      <c r="F5" s="2" t="s">
        <v>103</v>
      </c>
      <c r="G5" s="2" t="s">
        <v>104</v>
      </c>
      <c r="H5" s="2" t="s">
        <v>105</v>
      </c>
      <c r="I5" s="2" t="s">
        <v>106</v>
      </c>
      <c r="J5" s="2" t="s">
        <v>107</v>
      </c>
      <c r="K5" s="2" t="s">
        <v>108</v>
      </c>
      <c r="L5" s="2" t="s">
        <v>109</v>
      </c>
      <c r="M5" s="1" t="s">
        <v>0</v>
      </c>
    </row>
    <row r="6" spans="2:13" x14ac:dyDescent="0.2">
      <c r="B6" s="94" t="s">
        <v>315</v>
      </c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2:13" x14ac:dyDescent="0.2">
      <c r="B7" s="1" t="s">
        <v>19</v>
      </c>
      <c r="C7" s="25">
        <f>IS!C31</f>
        <v>7175</v>
      </c>
      <c r="D7" s="25">
        <f>IS!D31</f>
        <v>5073.03</v>
      </c>
      <c r="E7" s="25">
        <f>IS!E31</f>
        <v>7004.45</v>
      </c>
      <c r="F7" s="25">
        <f>IS!F31</f>
        <v>6039.25</v>
      </c>
      <c r="G7" s="25">
        <f>IS!G31</f>
        <v>8189.0399999999991</v>
      </c>
      <c r="H7" s="67">
        <f>IS!H31</f>
        <v>8884.8056222403247</v>
      </c>
      <c r="I7" s="59">
        <f>IS!I31</f>
        <v>10307.062523176484</v>
      </c>
      <c r="J7" s="59">
        <f>IS!J31</f>
        <v>11378.969299250981</v>
      </c>
      <c r="K7" s="59">
        <f>IS!K31</f>
        <v>12403.484236998711</v>
      </c>
      <c r="L7" s="59">
        <f>IS!L31</f>
        <v>13565.606014435838</v>
      </c>
      <c r="M7" s="11" t="s">
        <v>371</v>
      </c>
    </row>
    <row r="8" spans="2:13" x14ac:dyDescent="0.2">
      <c r="B8" s="1" t="s">
        <v>309</v>
      </c>
      <c r="C8" s="25">
        <f>IS!C24</f>
        <v>2715</v>
      </c>
      <c r="D8" s="25">
        <f>IS!D24</f>
        <v>2888</v>
      </c>
      <c r="E8" s="25">
        <f>IS!E24</f>
        <v>3145</v>
      </c>
      <c r="F8" s="25">
        <f>IS!F24</f>
        <v>4015</v>
      </c>
      <c r="G8" s="25">
        <f>IS!G24</f>
        <v>4644</v>
      </c>
      <c r="H8" s="60">
        <f>IS!H24</f>
        <v>4996.5219999999999</v>
      </c>
      <c r="I8" s="59">
        <f>IS!I24</f>
        <v>5261.7063340000004</v>
      </c>
      <c r="J8" s="59">
        <f>IS!J24</f>
        <v>5512.8358982979998</v>
      </c>
      <c r="K8" s="59">
        <f>IS!K24</f>
        <v>5710.4778024448105</v>
      </c>
      <c r="L8" s="59">
        <f>IS!L24</f>
        <v>5869.4145865831879</v>
      </c>
      <c r="M8" s="11" t="s">
        <v>372</v>
      </c>
    </row>
    <row r="9" spans="2:13" x14ac:dyDescent="0.2">
      <c r="B9" s="1" t="s">
        <v>16</v>
      </c>
      <c r="C9" s="25">
        <f>IS!C26</f>
        <v>945</v>
      </c>
      <c r="D9" s="25">
        <f>IS!D26</f>
        <v>823</v>
      </c>
      <c r="E9" s="25">
        <f>IS!E26</f>
        <v>968</v>
      </c>
      <c r="F9" s="25">
        <f>IS!F26</f>
        <v>1651</v>
      </c>
      <c r="G9" s="25">
        <f>IS!G26</f>
        <v>1872</v>
      </c>
      <c r="H9" s="60">
        <f>IS!H26</f>
        <v>1822.48</v>
      </c>
      <c r="I9" s="59">
        <f>IS!I26</f>
        <v>1742.48</v>
      </c>
      <c r="J9" s="59">
        <f>IS!J26</f>
        <v>1542.48</v>
      </c>
      <c r="K9" s="59">
        <f>IS!K26</f>
        <v>1262.48</v>
      </c>
      <c r="L9" s="59">
        <f>IS!L26</f>
        <v>942.48</v>
      </c>
      <c r="M9" s="11" t="s">
        <v>373</v>
      </c>
    </row>
    <row r="10" spans="2:13" x14ac:dyDescent="0.2">
      <c r="B10" s="1" t="s">
        <v>310</v>
      </c>
      <c r="C10" s="25"/>
      <c r="D10" s="25">
        <f>WC!D21</f>
        <v>-465.5</v>
      </c>
      <c r="E10" s="25">
        <f>WC!E21</f>
        <v>-859.75</v>
      </c>
      <c r="F10" s="25">
        <f>WC!F21</f>
        <v>-1995.75</v>
      </c>
      <c r="G10" s="25">
        <f>WC!G21</f>
        <v>640</v>
      </c>
      <c r="H10" s="60">
        <f>WC!H21</f>
        <v>-483.48829984422991</v>
      </c>
      <c r="I10" s="59">
        <f>WC!I21</f>
        <v>-352.36836263698933</v>
      </c>
      <c r="J10" s="59">
        <f>WC!J21</f>
        <v>-300.46578749307264</v>
      </c>
      <c r="K10" s="59">
        <f>WC!K21</f>
        <v>-597.99153762456262</v>
      </c>
      <c r="L10" s="59">
        <f>WC!L21</f>
        <v>-652.13046402793225</v>
      </c>
      <c r="M10" s="11" t="s">
        <v>374</v>
      </c>
    </row>
    <row r="11" spans="2:13" x14ac:dyDescent="0.2">
      <c r="B11" s="1" t="s">
        <v>311</v>
      </c>
      <c r="C11" s="2">
        <f>C12-SUM(C7:C10)</f>
        <v>-1552</v>
      </c>
      <c r="D11" s="2">
        <f>D12-SUM(D7:D10)</f>
        <v>750.22000000000116</v>
      </c>
      <c r="E11" s="2">
        <f t="shared" ref="E11:G11" si="0">E12-SUM(E7:E10)</f>
        <v>639.84999999999854</v>
      </c>
      <c r="F11" s="2">
        <f t="shared" si="0"/>
        <v>963.5</v>
      </c>
      <c r="G11" s="2">
        <f t="shared" si="0"/>
        <v>-29.039999999999054</v>
      </c>
      <c r="H11" s="21">
        <v>0</v>
      </c>
      <c r="I11" s="19">
        <v>0</v>
      </c>
      <c r="J11" s="19">
        <v>0</v>
      </c>
      <c r="K11" s="19">
        <v>0</v>
      </c>
      <c r="L11" s="19">
        <v>0</v>
      </c>
      <c r="M11" s="11" t="s">
        <v>375</v>
      </c>
    </row>
    <row r="12" spans="2:13" x14ac:dyDescent="0.2">
      <c r="B12" s="1" t="s">
        <v>99</v>
      </c>
      <c r="C12" s="3">
        <v>9283</v>
      </c>
      <c r="D12" s="3">
        <v>9068.75</v>
      </c>
      <c r="E12" s="3">
        <v>10897.55</v>
      </c>
      <c r="F12" s="3">
        <v>10673</v>
      </c>
      <c r="G12" s="3">
        <v>15316</v>
      </c>
      <c r="H12" s="40">
        <f>SUM(H7:H11)</f>
        <v>15220.319322396095</v>
      </c>
      <c r="I12" s="37">
        <f t="shared" ref="I12:L12" si="1">SUM(I7:I11)</f>
        <v>16958.880494539495</v>
      </c>
      <c r="J12" s="37">
        <f t="shared" si="1"/>
        <v>18133.819410055905</v>
      </c>
      <c r="K12" s="37">
        <f t="shared" si="1"/>
        <v>18778.450501818959</v>
      </c>
      <c r="L12" s="37">
        <f t="shared" si="1"/>
        <v>19725.370136991092</v>
      </c>
      <c r="M12" s="11" t="s">
        <v>376</v>
      </c>
    </row>
    <row r="13" spans="2:13" x14ac:dyDescent="0.2">
      <c r="B13" s="1" t="s">
        <v>89</v>
      </c>
      <c r="C13" s="3">
        <v>-5613</v>
      </c>
      <c r="D13" s="3">
        <v>-6200.49</v>
      </c>
      <c r="E13" s="3">
        <v>-9006</v>
      </c>
      <c r="F13" s="3">
        <v>-9129</v>
      </c>
      <c r="G13" s="3">
        <v>-9678</v>
      </c>
      <c r="H13" s="60">
        <f>-Capex_DA!H19</f>
        <v>-10000</v>
      </c>
      <c r="I13" s="59">
        <f>-Capex_DA!I19</f>
        <v>-10000</v>
      </c>
      <c r="J13" s="59">
        <f>-Capex_DA!J19</f>
        <v>-10000</v>
      </c>
      <c r="K13" s="59">
        <f>-Capex_DA!K19</f>
        <v>-8483.8568587398058</v>
      </c>
      <c r="L13" s="59">
        <f>-Capex_DA!L19</f>
        <v>-8934.7132419376576</v>
      </c>
      <c r="M13" s="11" t="s">
        <v>377</v>
      </c>
    </row>
    <row r="14" spans="2:13" x14ac:dyDescent="0.2">
      <c r="B14" s="1" t="s">
        <v>91</v>
      </c>
      <c r="C14" s="2">
        <f>C12+C13</f>
        <v>3670</v>
      </c>
      <c r="D14" s="2">
        <f>D12+D13</f>
        <v>2868.26</v>
      </c>
      <c r="E14" s="2">
        <f>E12+E13</f>
        <v>1891.5499999999993</v>
      </c>
      <c r="F14" s="2">
        <f>F12+F13</f>
        <v>1544</v>
      </c>
      <c r="G14" s="2">
        <f>G12+G13</f>
        <v>5638</v>
      </c>
      <c r="H14" s="21">
        <f t="shared" ref="H14:L14" si="2">H12+H13</f>
        <v>5220.3193223960952</v>
      </c>
      <c r="I14" s="19">
        <f t="shared" si="2"/>
        <v>6958.880494539495</v>
      </c>
      <c r="J14" s="19">
        <f t="shared" si="2"/>
        <v>8133.8194100559049</v>
      </c>
      <c r="K14" s="19">
        <f t="shared" si="2"/>
        <v>10294.593643079153</v>
      </c>
      <c r="L14" s="19">
        <f t="shared" si="2"/>
        <v>10790.656895053435</v>
      </c>
      <c r="M14" s="11" t="s">
        <v>378</v>
      </c>
    </row>
    <row r="15" spans="2:13" x14ac:dyDescent="0.2">
      <c r="B15" s="1" t="s">
        <v>90</v>
      </c>
      <c r="C15" s="3">
        <v>-961</v>
      </c>
      <c r="D15" s="3">
        <v>-702</v>
      </c>
      <c r="E15" s="3">
        <v>-853.45</v>
      </c>
      <c r="F15" s="3">
        <v>-1479</v>
      </c>
      <c r="G15" s="3">
        <v>-1869</v>
      </c>
      <c r="H15" s="60">
        <f>-IS!H26</f>
        <v>-1822.48</v>
      </c>
      <c r="I15" s="59">
        <f>-IS!I26</f>
        <v>-1742.48</v>
      </c>
      <c r="J15" s="59">
        <f>-IS!J26</f>
        <v>-1542.48</v>
      </c>
      <c r="K15" s="59">
        <f>-IS!K26</f>
        <v>-1262.48</v>
      </c>
      <c r="L15" s="59">
        <f>-IS!L26</f>
        <v>-942.48</v>
      </c>
      <c r="M15" s="11" t="s">
        <v>379</v>
      </c>
    </row>
    <row r="16" spans="2:13" x14ac:dyDescent="0.2">
      <c r="B16" s="1" t="s">
        <v>92</v>
      </c>
      <c r="C16" s="2">
        <f>C14+C15</f>
        <v>2709</v>
      </c>
      <c r="D16" s="2">
        <f t="shared" ref="D16:F16" si="3">D14+D15</f>
        <v>2166.2600000000002</v>
      </c>
      <c r="E16" s="2">
        <f t="shared" si="3"/>
        <v>1038.0999999999992</v>
      </c>
      <c r="F16" s="2">
        <f t="shared" si="3"/>
        <v>65</v>
      </c>
      <c r="G16" s="2">
        <f>G14+G15</f>
        <v>3769</v>
      </c>
      <c r="H16" s="21">
        <f t="shared" ref="H16:L16" si="4">H14+H15</f>
        <v>3397.8393223960952</v>
      </c>
      <c r="I16" s="19">
        <f t="shared" si="4"/>
        <v>5216.4004945394954</v>
      </c>
      <c r="J16" s="19">
        <f t="shared" si="4"/>
        <v>6591.3394100559053</v>
      </c>
      <c r="K16" s="19">
        <f t="shared" si="4"/>
        <v>9032.1136430791539</v>
      </c>
      <c r="L16" s="19">
        <f t="shared" si="4"/>
        <v>9848.1768950534351</v>
      </c>
      <c r="M16" s="11" t="s">
        <v>380</v>
      </c>
    </row>
    <row r="17" spans="2:13" x14ac:dyDescent="0.2">
      <c r="B17" s="1" t="s">
        <v>93</v>
      </c>
      <c r="C17" s="3">
        <v>0</v>
      </c>
      <c r="D17" s="3">
        <v>-19</v>
      </c>
      <c r="E17" s="3">
        <v>0</v>
      </c>
      <c r="F17" s="3">
        <v>-10113</v>
      </c>
      <c r="G17" s="3">
        <v>-53</v>
      </c>
      <c r="H17" s="55">
        <v>0</v>
      </c>
      <c r="I17" s="18">
        <v>0</v>
      </c>
      <c r="J17" s="18">
        <v>0</v>
      </c>
      <c r="K17" s="18">
        <v>0</v>
      </c>
      <c r="L17" s="18">
        <v>0</v>
      </c>
      <c r="M17" s="11" t="s">
        <v>381</v>
      </c>
    </row>
    <row r="18" spans="2:13" x14ac:dyDescent="0.2">
      <c r="B18" s="1" t="s">
        <v>94</v>
      </c>
      <c r="C18" s="3">
        <v>-1065</v>
      </c>
      <c r="D18" s="3">
        <v>-1091</v>
      </c>
      <c r="E18" s="3">
        <v>-1094</v>
      </c>
      <c r="F18" s="3">
        <v>-2012</v>
      </c>
      <c r="G18" s="3">
        <v>-2273</v>
      </c>
      <c r="H18" s="60">
        <f>-Fin_Inputs!H12</f>
        <v>-2858.2154999999993</v>
      </c>
      <c r="I18" s="59">
        <f>-Fin_Inputs!I12</f>
        <v>-3100.3529218807612</v>
      </c>
      <c r="J18" s="59">
        <f>-Fin_Inputs!J12</f>
        <v>-3596.6494674624341</v>
      </c>
      <c r="K18" s="59">
        <f>-Fin_Inputs!K12</f>
        <v>-3970.6913369736294</v>
      </c>
      <c r="L18" s="59">
        <f>-Fin_Inputs!L12</f>
        <v>-4328.1958245006999</v>
      </c>
      <c r="M18" s="11" t="s">
        <v>382</v>
      </c>
    </row>
    <row r="19" spans="2:13" x14ac:dyDescent="0.2">
      <c r="B19" s="1" t="s">
        <v>95</v>
      </c>
      <c r="C19" s="3">
        <v>-10171</v>
      </c>
      <c r="D19" s="3">
        <v>453</v>
      </c>
      <c r="E19" s="3">
        <v>330</v>
      </c>
      <c r="F19" s="3">
        <v>8859</v>
      </c>
      <c r="G19" s="3">
        <v>-1466</v>
      </c>
      <c r="H19" s="60">
        <f>Debt!H7-Debt!H8</f>
        <v>0</v>
      </c>
      <c r="I19" s="59">
        <f>Debt!I7-Debt!I8</f>
        <v>-2000</v>
      </c>
      <c r="J19" s="59">
        <f>Debt!J7-Debt!J8</f>
        <v>-3000</v>
      </c>
      <c r="K19" s="59">
        <f>Debt!K7-Debt!K8</f>
        <v>-4000</v>
      </c>
      <c r="L19" s="59">
        <f>Debt!L7-Debt!L8</f>
        <v>-4000</v>
      </c>
      <c r="M19" s="11" t="s">
        <v>383</v>
      </c>
    </row>
    <row r="20" spans="2:13" x14ac:dyDescent="0.2">
      <c r="B20" s="1" t="s">
        <v>312</v>
      </c>
      <c r="C20" s="22"/>
      <c r="D20" s="22"/>
      <c r="E20" s="22"/>
      <c r="F20" s="22"/>
      <c r="G20" s="22"/>
      <c r="H20" s="40">
        <f t="shared" ref="H20:L20" si="5">H16+H17+H18+H19</f>
        <v>539.62382239609587</v>
      </c>
      <c r="I20" s="37">
        <f t="shared" si="5"/>
        <v>116.04757265873423</v>
      </c>
      <c r="J20" s="37">
        <f t="shared" si="5"/>
        <v>-5.3100574065288129</v>
      </c>
      <c r="K20" s="37">
        <f t="shared" si="5"/>
        <v>1061.4223061055245</v>
      </c>
      <c r="L20" s="37">
        <f t="shared" si="5"/>
        <v>1519.9810705527352</v>
      </c>
      <c r="M20" s="11" t="s">
        <v>384</v>
      </c>
    </row>
    <row r="21" spans="2:13" x14ac:dyDescent="0.2">
      <c r="B21" s="1" t="s">
        <v>313</v>
      </c>
      <c r="C21" s="3"/>
      <c r="D21" s="25"/>
      <c r="E21" s="25"/>
      <c r="F21" s="25"/>
      <c r="G21" s="25"/>
      <c r="H21" s="60">
        <f>BS!G14</f>
        <v>1384</v>
      </c>
      <c r="I21" s="59">
        <f>H22</f>
        <v>1923.6238223960959</v>
      </c>
      <c r="J21" s="59">
        <f t="shared" ref="J21:L21" si="6">I22</f>
        <v>2039.6713950548301</v>
      </c>
      <c r="K21" s="59">
        <f t="shared" si="6"/>
        <v>2034.3613376483013</v>
      </c>
      <c r="L21" s="59">
        <f t="shared" si="6"/>
        <v>3095.7836437538258</v>
      </c>
      <c r="M21" s="11" t="s">
        <v>385</v>
      </c>
    </row>
    <row r="22" spans="2:13" x14ac:dyDescent="0.2">
      <c r="B22" s="1" t="s">
        <v>314</v>
      </c>
      <c r="C22" s="3"/>
      <c r="D22" s="22"/>
      <c r="E22" s="22"/>
      <c r="F22" s="22"/>
      <c r="G22" s="22"/>
      <c r="H22" s="40">
        <f t="shared" ref="H22:L22" si="7">H20+H21</f>
        <v>1923.6238223960959</v>
      </c>
      <c r="I22" s="37">
        <f t="shared" si="7"/>
        <v>2039.6713950548301</v>
      </c>
      <c r="J22" s="37">
        <f t="shared" si="7"/>
        <v>2034.3613376483013</v>
      </c>
      <c r="K22" s="37">
        <f t="shared" si="7"/>
        <v>3095.7836437538258</v>
      </c>
      <c r="L22" s="37">
        <f t="shared" si="7"/>
        <v>4615.7647143065606</v>
      </c>
      <c r="M22" s="11" t="s">
        <v>386</v>
      </c>
    </row>
    <row r="24" spans="2:13" x14ac:dyDescent="0.2">
      <c r="B24" s="94" t="s">
        <v>115</v>
      </c>
      <c r="C24" s="94"/>
      <c r="D24" s="94"/>
      <c r="E24" s="94"/>
      <c r="F24" s="94"/>
      <c r="G24" s="94"/>
      <c r="H24" s="94"/>
      <c r="I24" s="94"/>
      <c r="J24" s="94"/>
      <c r="K24" s="94"/>
      <c r="L24" s="94"/>
    </row>
    <row r="25" spans="2:13" x14ac:dyDescent="0.2">
      <c r="B25" s="1" t="s">
        <v>96</v>
      </c>
      <c r="C25" s="13">
        <f>C12/IS!C22</f>
        <v>0.8061658706035606</v>
      </c>
      <c r="D25" s="13">
        <f>D12/IS!D22</f>
        <v>0.85393126177024481</v>
      </c>
      <c r="E25" s="13">
        <f>E12/IS!E22</f>
        <v>0.84027681394093601</v>
      </c>
      <c r="F25" s="13">
        <f>F12/IS!F22</f>
        <v>0.84996416341482839</v>
      </c>
      <c r="G25" s="13">
        <f>G12/IS!G22</f>
        <v>0.89980160420361743</v>
      </c>
      <c r="H25" s="75">
        <f>H12/IS!H22</f>
        <v>0.84146952442529122</v>
      </c>
      <c r="I25" s="74">
        <f>I12/IS!I22</f>
        <v>0.84230437999757801</v>
      </c>
      <c r="J25" s="74">
        <f>J12/IS!J22</f>
        <v>0.83916479181788006</v>
      </c>
      <c r="K25" s="74">
        <f>K12/IS!K22</f>
        <v>0.82012428748198773</v>
      </c>
      <c r="L25" s="74">
        <f>L12/IS!L22</f>
        <v>0.81475965500622682</v>
      </c>
      <c r="M25" s="11" t="s">
        <v>387</v>
      </c>
    </row>
    <row r="26" spans="2:13" x14ac:dyDescent="0.2">
      <c r="B26" s="1" t="s">
        <v>97</v>
      </c>
      <c r="C26" s="5">
        <f>-C13/IS!C7</f>
        <v>0.10671305538128101</v>
      </c>
      <c r="D26" s="5">
        <f>-D13/IS!D7</f>
        <v>9.804696394686907E-2</v>
      </c>
      <c r="E26" s="5">
        <f>-E13/IS!E7</f>
        <v>0.12700785513827581</v>
      </c>
      <c r="F26" s="5">
        <f>-F13/IS!F7</f>
        <v>0.12018958593904286</v>
      </c>
      <c r="G26" s="5">
        <f>-G13/IS!G7</f>
        <v>0.1093416868966111</v>
      </c>
      <c r="H26" s="54">
        <f>-H13/IS!H7</f>
        <v>0.10097008248481286</v>
      </c>
      <c r="I26" s="53">
        <f>-I13/IS!I7</f>
        <v>9.100846420133997E-2</v>
      </c>
      <c r="J26" s="53">
        <f>-J13/IS!J7</f>
        <v>8.2742151204307376E-2</v>
      </c>
      <c r="K26" s="53">
        <f>-K13/IS!K7</f>
        <v>6.4383469994583761E-2</v>
      </c>
      <c r="L26" s="53">
        <f>-L13/IS!L7</f>
        <v>6.2188222645913289E-2</v>
      </c>
      <c r="M26" s="11" t="s">
        <v>388</v>
      </c>
    </row>
    <row r="27" spans="2:13" x14ac:dyDescent="0.2">
      <c r="B27" s="1" t="s">
        <v>98</v>
      </c>
      <c r="C27" s="14">
        <f>-C13/IS!C24</f>
        <v>2.0674033149171271</v>
      </c>
      <c r="D27" s="14">
        <f>-D13/IS!D24</f>
        <v>2.1469840720221605</v>
      </c>
      <c r="E27" s="14">
        <f>-E13/IS!E24</f>
        <v>2.8635930047694753</v>
      </c>
      <c r="F27" s="14">
        <f>-F13/IS!F24</f>
        <v>2.2737235367372355</v>
      </c>
      <c r="G27" s="14">
        <f>-G13/IS!G24</f>
        <v>2.0839793281653747</v>
      </c>
      <c r="H27" s="63">
        <f>-H13/IS!H24</f>
        <v>2.0013921683923339</v>
      </c>
      <c r="I27" s="64">
        <f>-I13/IS!I24</f>
        <v>1.9005241579869592</v>
      </c>
      <c r="J27" s="64">
        <f>-J13/IS!J24</f>
        <v>1.8139484259067715</v>
      </c>
      <c r="K27" s="64">
        <f>-K13/IS!K24</f>
        <v>1.4856649744978672</v>
      </c>
      <c r="L27" s="64">
        <f>-L13/IS!L24</f>
        <v>1.5222494697105555</v>
      </c>
      <c r="M27" s="11" t="s">
        <v>389</v>
      </c>
    </row>
    <row r="29" spans="2:13" x14ac:dyDescent="0.2">
      <c r="B29" s="94" t="s">
        <v>140</v>
      </c>
      <c r="C29" s="94"/>
      <c r="D29" s="94"/>
      <c r="E29" s="94"/>
      <c r="F29" s="94"/>
      <c r="G29" s="94"/>
      <c r="H29" s="94"/>
      <c r="I29" s="94"/>
      <c r="J29" s="94"/>
      <c r="K29" s="94"/>
      <c r="L29" s="94"/>
    </row>
    <row r="30" spans="2:13" x14ac:dyDescent="0.2">
      <c r="B30" s="1" t="s">
        <v>326</v>
      </c>
      <c r="C30" s="22"/>
      <c r="D30" s="22"/>
      <c r="E30" s="22"/>
      <c r="F30" s="22"/>
      <c r="G30" s="22"/>
      <c r="H30" s="38" t="str">
        <f>IF(H22&lt;0,"ERROR","OK")</f>
        <v>OK</v>
      </c>
      <c r="I30" s="37" t="str">
        <f>IF(I22&lt;0,"ERROR","OK")</f>
        <v>OK</v>
      </c>
      <c r="J30" s="37" t="str">
        <f t="shared" ref="J30:L30" si="8">IF(J22&lt;0,"ERROR","OK")</f>
        <v>OK</v>
      </c>
      <c r="K30" s="37" t="str">
        <f t="shared" si="8"/>
        <v>OK</v>
      </c>
      <c r="L30" s="37" t="str">
        <f t="shared" si="8"/>
        <v>OK</v>
      </c>
      <c r="M30" s="11" t="s">
        <v>390</v>
      </c>
    </row>
    <row r="31" spans="2:13" x14ac:dyDescent="0.2">
      <c r="B31" s="1" t="s">
        <v>343</v>
      </c>
      <c r="H31" s="40">
        <f>ROUND(H22-BS!H14,0)</f>
        <v>0</v>
      </c>
      <c r="I31" s="37">
        <f>ROUND(I22-BS!I14,0)</f>
        <v>0</v>
      </c>
      <c r="J31" s="37">
        <f>ROUND(J22-BS!J14,0)</f>
        <v>0</v>
      </c>
      <c r="K31" s="37">
        <f>ROUND(K22-BS!K14,0)</f>
        <v>0</v>
      </c>
      <c r="L31" s="37">
        <f>ROUND(L22-BS!L14,0)</f>
        <v>0</v>
      </c>
      <c r="M31" s="11" t="s">
        <v>391</v>
      </c>
    </row>
  </sheetData>
  <mergeCells count="4">
    <mergeCell ref="B24:L24"/>
    <mergeCell ref="B6:L6"/>
    <mergeCell ref="B29:L29"/>
    <mergeCell ref="B2:L2"/>
  </mergeCells>
  <conditionalFormatting sqref="C3">
    <cfRule type="containsText" dxfId="10" priority="1" operator="containsText" text="OK">
      <formula>NOT(ISERROR(SEARCH("OK",C3)))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F2BA-1B24-44B1-AB07-D346BFC2D926}">
  <sheetPr>
    <tabColor theme="7" tint="0.39997558519241921"/>
  </sheetPr>
  <dimension ref="B2:L19"/>
  <sheetViews>
    <sheetView zoomScale="95" zoomScaleNormal="95" workbookViewId="0"/>
  </sheetViews>
  <sheetFormatPr defaultRowHeight="12.75" x14ac:dyDescent="0.2"/>
  <cols>
    <col min="1" max="1" width="2.7109375" style="1" customWidth="1"/>
    <col min="2" max="2" width="43.28515625" style="1" bestFit="1" customWidth="1"/>
    <col min="3" max="8" width="14.42578125" style="2" customWidth="1"/>
    <col min="9" max="9" width="103.85546875" style="1" bestFit="1" customWidth="1"/>
    <col min="10" max="16384" width="9.140625" style="1"/>
  </cols>
  <sheetData>
    <row r="2" spans="2:12" ht="18" x14ac:dyDescent="0.25">
      <c r="B2" s="95" t="s">
        <v>348</v>
      </c>
      <c r="C2" s="95"/>
      <c r="D2" s="95"/>
      <c r="E2" s="95"/>
      <c r="F2" s="95"/>
      <c r="G2" s="95"/>
      <c r="H2" s="95"/>
      <c r="I2" s="2"/>
      <c r="J2" s="2"/>
      <c r="K2" s="2"/>
      <c r="L2" s="2"/>
    </row>
    <row r="3" spans="2:12" x14ac:dyDescent="0.2">
      <c r="B3" s="1" t="s">
        <v>359</v>
      </c>
      <c r="C3" s="1" t="str">
        <f>Check!E4</f>
        <v>MODEL OK</v>
      </c>
    </row>
    <row r="5" spans="2:12" x14ac:dyDescent="0.2">
      <c r="C5" s="2" t="s">
        <v>328</v>
      </c>
      <c r="D5" s="2" t="s">
        <v>100</v>
      </c>
      <c r="E5" s="2" t="s">
        <v>101</v>
      </c>
      <c r="F5" s="2" t="s">
        <v>102</v>
      </c>
      <c r="G5" s="2" t="s">
        <v>103</v>
      </c>
      <c r="H5" s="2" t="s">
        <v>104</v>
      </c>
      <c r="I5" s="1" t="s">
        <v>360</v>
      </c>
    </row>
    <row r="6" spans="2:12" x14ac:dyDescent="0.2">
      <c r="B6" s="94" t="s">
        <v>129</v>
      </c>
      <c r="C6" s="94"/>
      <c r="D6" s="94"/>
      <c r="E6" s="94"/>
      <c r="F6" s="94"/>
      <c r="G6" s="94"/>
      <c r="H6" s="94"/>
    </row>
    <row r="7" spans="2:12" x14ac:dyDescent="0.2">
      <c r="B7" s="1" t="s">
        <v>110</v>
      </c>
      <c r="C7" s="16">
        <v>111.35</v>
      </c>
      <c r="D7" s="16">
        <v>114.55</v>
      </c>
      <c r="E7" s="16">
        <v>126.95</v>
      </c>
      <c r="F7" s="16">
        <v>140.80000000000001</v>
      </c>
      <c r="G7" s="16">
        <v>183.4</v>
      </c>
      <c r="H7" s="16">
        <v>191.4</v>
      </c>
      <c r="I7" s="11" t="s">
        <v>361</v>
      </c>
    </row>
    <row r="8" spans="2:12" x14ac:dyDescent="0.2">
      <c r="B8" s="1" t="s">
        <v>130</v>
      </c>
      <c r="C8" s="10"/>
      <c r="D8" s="16">
        <v>87.25</v>
      </c>
      <c r="E8" s="16">
        <v>99.6</v>
      </c>
      <c r="F8" s="16">
        <v>112.23</v>
      </c>
      <c r="G8" s="16">
        <v>125.06</v>
      </c>
      <c r="H8" s="16">
        <v>140</v>
      </c>
      <c r="I8" s="11" t="s">
        <v>362</v>
      </c>
    </row>
    <row r="9" spans="2:12" x14ac:dyDescent="0.2">
      <c r="B9" s="1" t="s">
        <v>127</v>
      </c>
      <c r="C9" s="10"/>
      <c r="D9" s="16">
        <v>87.25</v>
      </c>
      <c r="E9" s="16">
        <v>99.6</v>
      </c>
      <c r="F9" s="16">
        <v>112.23</v>
      </c>
      <c r="G9" s="16">
        <v>127.88</v>
      </c>
      <c r="H9" s="16">
        <v>145</v>
      </c>
      <c r="I9" s="11" t="s">
        <v>363</v>
      </c>
    </row>
    <row r="10" spans="2:12" x14ac:dyDescent="0.2">
      <c r="B10" s="1" t="s">
        <v>121</v>
      </c>
      <c r="C10" s="10"/>
      <c r="D10" s="16">
        <v>93.99</v>
      </c>
      <c r="E10" s="16">
        <v>105.7</v>
      </c>
      <c r="F10" s="16">
        <v>119.04</v>
      </c>
      <c r="G10" s="16">
        <v>135.83000000000001</v>
      </c>
      <c r="H10" s="16">
        <v>154.25</v>
      </c>
      <c r="I10" s="11" t="s">
        <v>364</v>
      </c>
    </row>
    <row r="11" spans="2:12" x14ac:dyDescent="0.2">
      <c r="B11" s="1" t="s">
        <v>128</v>
      </c>
      <c r="C11" s="10"/>
      <c r="D11" s="3">
        <v>44450</v>
      </c>
      <c r="E11" s="3">
        <v>53788</v>
      </c>
      <c r="F11" s="3">
        <v>59824</v>
      </c>
      <c r="G11" s="3">
        <v>62507</v>
      </c>
      <c r="H11" s="3">
        <v>70666</v>
      </c>
      <c r="I11" s="11" t="s">
        <v>365</v>
      </c>
    </row>
    <row r="12" spans="2:12" x14ac:dyDescent="0.2">
      <c r="I12" s="11"/>
    </row>
    <row r="13" spans="2:12" x14ac:dyDescent="0.2">
      <c r="B13" s="94" t="s">
        <v>122</v>
      </c>
      <c r="C13" s="94"/>
      <c r="D13" s="94"/>
      <c r="E13" s="94"/>
      <c r="F13" s="94"/>
      <c r="G13" s="94"/>
      <c r="H13" s="94"/>
      <c r="I13" s="11"/>
    </row>
    <row r="14" spans="2:12" x14ac:dyDescent="0.2">
      <c r="B14" s="1" t="s">
        <v>117</v>
      </c>
      <c r="C14" s="3"/>
      <c r="D14" s="10">
        <f>(C7+D7)/2</f>
        <v>112.94999999999999</v>
      </c>
      <c r="E14" s="10">
        <f t="shared" ref="E14:H14" si="0">(D7+E7)/2</f>
        <v>120.75</v>
      </c>
      <c r="F14" s="10">
        <f t="shared" si="0"/>
        <v>133.875</v>
      </c>
      <c r="G14" s="10">
        <f t="shared" si="0"/>
        <v>162.10000000000002</v>
      </c>
      <c r="H14" s="10">
        <f t="shared" si="0"/>
        <v>187.4</v>
      </c>
      <c r="I14" s="11" t="s">
        <v>366</v>
      </c>
    </row>
    <row r="15" spans="2:12" x14ac:dyDescent="0.2">
      <c r="B15" s="1" t="s">
        <v>123</v>
      </c>
      <c r="C15" s="3"/>
      <c r="D15" s="5">
        <f t="shared" ref="D15:F15" si="1">D9/D14</f>
        <v>0.77246569278441801</v>
      </c>
      <c r="E15" s="5">
        <f t="shared" si="1"/>
        <v>0.82484472049689439</v>
      </c>
      <c r="F15" s="5">
        <f t="shared" si="1"/>
        <v>0.83831932773109241</v>
      </c>
      <c r="G15" s="5">
        <f>G9/G14</f>
        <v>0.78889574336829105</v>
      </c>
      <c r="H15" s="5">
        <f>H9/H14</f>
        <v>0.77374599786552822</v>
      </c>
      <c r="I15" s="11" t="s">
        <v>367</v>
      </c>
    </row>
    <row r="16" spans="2:12" x14ac:dyDescent="0.2">
      <c r="B16" s="1" t="s">
        <v>124</v>
      </c>
      <c r="C16" s="3"/>
      <c r="D16" s="2">
        <f>D11/D8*10</f>
        <v>5094.5558739255021</v>
      </c>
      <c r="E16" s="2">
        <f>E11/E8*10</f>
        <v>5400.401606425703</v>
      </c>
      <c r="F16" s="2">
        <f>F11/F8*10</f>
        <v>5330.4820457988062</v>
      </c>
      <c r="G16" s="2">
        <f>G11/G8*10</f>
        <v>4998.1608827762666</v>
      </c>
      <c r="H16" s="2">
        <f>H11/H8*10</f>
        <v>5047.5714285714284</v>
      </c>
      <c r="I16" s="11" t="s">
        <v>368</v>
      </c>
    </row>
    <row r="17" spans="2:9" x14ac:dyDescent="0.2">
      <c r="B17" s="17" t="s">
        <v>126</v>
      </c>
      <c r="D17" s="25">
        <f>IS!C7/Ops_Data!D10*10</f>
        <v>5596.2336418767964</v>
      </c>
      <c r="E17" s="25">
        <f>IS!D7/Ops_Data!E10*10</f>
        <v>5982.9706717123927</v>
      </c>
      <c r="F17" s="25">
        <f>IS!E7/Ops_Data!F10*10</f>
        <v>5956.7372311827958</v>
      </c>
      <c r="G17" s="25">
        <f>IS!F7/Ops_Data!G10*10</f>
        <v>5591.9163660457925</v>
      </c>
      <c r="H17" s="25">
        <f>IS!G7/Ops_Data!H10*10</f>
        <v>5738.1867098865478</v>
      </c>
      <c r="I17" s="11" t="s">
        <v>369</v>
      </c>
    </row>
    <row r="18" spans="2:9" x14ac:dyDescent="0.2">
      <c r="B18" s="1" t="s">
        <v>125</v>
      </c>
      <c r="D18" s="25">
        <f>IS!C22/Ops_Data!D10*10</f>
        <v>1225.1303330141504</v>
      </c>
      <c r="E18" s="25">
        <f>IS!D22/Ops_Data!E10*10</f>
        <v>1004.7303689687795</v>
      </c>
      <c r="F18" s="25">
        <f>IS!E22/Ops_Data!F10*10</f>
        <v>1089.4657258064515</v>
      </c>
      <c r="G18" s="25">
        <f>IS!F22/Ops_Data!G10*10</f>
        <v>924.46440403445479</v>
      </c>
      <c r="H18" s="25">
        <f>IS!G22/Ops_Data!H10*10</f>
        <v>1103.502755267423</v>
      </c>
      <c r="I18" s="11" t="s">
        <v>370</v>
      </c>
    </row>
    <row r="19" spans="2:9" x14ac:dyDescent="0.2">
      <c r="I19" s="11"/>
    </row>
  </sheetData>
  <mergeCells count="3">
    <mergeCell ref="B6:H6"/>
    <mergeCell ref="B13:H13"/>
    <mergeCell ref="B2:H2"/>
  </mergeCells>
  <conditionalFormatting sqref="C3">
    <cfRule type="containsText" dxfId="9" priority="1" operator="containsText" text="OK">
      <formula>NOT(ISERROR(SEARCH("OK",C3)))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E931-637A-4268-8477-860635DF5BC7}">
  <sheetPr>
    <tabColor theme="6" tint="0.39997558519241921"/>
  </sheetPr>
  <dimension ref="B2:M54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2.75" x14ac:dyDescent="0.2"/>
  <cols>
    <col min="1" max="1" width="2.7109375" style="1" customWidth="1"/>
    <col min="2" max="2" width="40.5703125" style="1" bestFit="1" customWidth="1"/>
    <col min="3" max="12" width="14.42578125" style="2" customWidth="1"/>
    <col min="13" max="13" width="255.5703125" style="1" customWidth="1"/>
    <col min="14" max="16384" width="9.140625" style="1"/>
  </cols>
  <sheetData>
    <row r="2" spans="2:13" ht="18" x14ac:dyDescent="0.25">
      <c r="B2" s="95" t="s">
        <v>349</v>
      </c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2:13" x14ac:dyDescent="0.2">
      <c r="B3" s="1" t="s">
        <v>359</v>
      </c>
      <c r="C3" s="1" t="str">
        <f>Check!E4</f>
        <v>MODEL OK</v>
      </c>
    </row>
    <row r="5" spans="2:13" x14ac:dyDescent="0.2">
      <c r="C5" s="2" t="s">
        <v>100</v>
      </c>
      <c r="D5" s="2" t="s">
        <v>101</v>
      </c>
      <c r="E5" s="2" t="s">
        <v>102</v>
      </c>
      <c r="F5" s="2" t="s">
        <v>103</v>
      </c>
      <c r="G5" s="2" t="s">
        <v>104</v>
      </c>
      <c r="H5" s="2" t="s">
        <v>105</v>
      </c>
      <c r="I5" s="2" t="s">
        <v>106</v>
      </c>
      <c r="J5" s="2" t="s">
        <v>107</v>
      </c>
      <c r="K5" s="2" t="s">
        <v>108</v>
      </c>
      <c r="L5" s="2" t="s">
        <v>109</v>
      </c>
      <c r="M5" s="1" t="s">
        <v>142</v>
      </c>
    </row>
    <row r="6" spans="2:13" x14ac:dyDescent="0.2">
      <c r="B6" s="94" t="s">
        <v>135</v>
      </c>
      <c r="C6" s="94"/>
      <c r="D6" s="94"/>
      <c r="E6" s="94"/>
      <c r="F6" s="94"/>
      <c r="G6" s="94"/>
      <c r="H6" s="98"/>
      <c r="I6" s="98"/>
      <c r="J6" s="94"/>
      <c r="K6" s="94"/>
      <c r="L6" s="94"/>
    </row>
    <row r="7" spans="2:13" x14ac:dyDescent="0.2">
      <c r="B7" s="1" t="s">
        <v>110</v>
      </c>
      <c r="C7" s="23">
        <f>Ops_Data!D7</f>
        <v>114.55</v>
      </c>
      <c r="D7" s="23">
        <f>Ops_Data!E7</f>
        <v>126.95</v>
      </c>
      <c r="E7" s="23">
        <f>Ops_Data!F7</f>
        <v>140.80000000000001</v>
      </c>
      <c r="F7" s="23">
        <f>Ops_Data!G7</f>
        <v>183.4</v>
      </c>
      <c r="G7" s="23">
        <f>Ops_Data!H7</f>
        <v>191.4</v>
      </c>
      <c r="H7" s="29">
        <f t="shared" ref="H7:I7" si="0">G7+H8</f>
        <v>207.3</v>
      </c>
      <c r="I7" s="34">
        <f t="shared" si="0"/>
        <v>237.10000000000002</v>
      </c>
      <c r="J7" s="30">
        <f>I7+J8</f>
        <v>245.10000000000002</v>
      </c>
      <c r="K7" s="30">
        <f t="shared" ref="K7:L7" si="1">J7+K8</f>
        <v>253.10000000000002</v>
      </c>
      <c r="L7" s="30">
        <f t="shared" si="1"/>
        <v>261.10000000000002</v>
      </c>
      <c r="M7" s="11" t="s">
        <v>151</v>
      </c>
    </row>
    <row r="8" spans="2:13" x14ac:dyDescent="0.2">
      <c r="B8" s="1" t="s">
        <v>141</v>
      </c>
      <c r="C8" s="23"/>
      <c r="D8" s="33">
        <f>D7-C7</f>
        <v>12.400000000000006</v>
      </c>
      <c r="E8" s="33">
        <f t="shared" ref="E8:G8" si="2">E7-D7</f>
        <v>13.850000000000009</v>
      </c>
      <c r="F8" s="33">
        <f t="shared" si="2"/>
        <v>42.599999999999994</v>
      </c>
      <c r="G8" s="33">
        <f t="shared" si="2"/>
        <v>8</v>
      </c>
      <c r="H8" s="35">
        <v>15.9</v>
      </c>
      <c r="I8" s="36">
        <v>29.8</v>
      </c>
      <c r="J8" s="36">
        <v>8</v>
      </c>
      <c r="K8" s="36">
        <v>8</v>
      </c>
      <c r="L8" s="36">
        <v>8</v>
      </c>
      <c r="M8" s="11" t="s">
        <v>152</v>
      </c>
    </row>
    <row r="9" spans="2:13" x14ac:dyDescent="0.2">
      <c r="B9" s="1" t="s">
        <v>131</v>
      </c>
      <c r="C9" s="15"/>
      <c r="D9" s="5">
        <f>D21/C21-1</f>
        <v>0.14154727793696265</v>
      </c>
      <c r="E9" s="5">
        <f t="shared" ref="E9:G9" si="3">E21/D21-1</f>
        <v>0.12680722891566276</v>
      </c>
      <c r="F9" s="5">
        <f t="shared" si="3"/>
        <v>0.13944578098547611</v>
      </c>
      <c r="G9" s="5">
        <f t="shared" si="3"/>
        <v>0.13387550828902106</v>
      </c>
      <c r="H9" s="43">
        <v>0.1</v>
      </c>
      <c r="I9" s="45">
        <v>0.09</v>
      </c>
      <c r="J9" s="45">
        <v>0.08</v>
      </c>
      <c r="K9" s="45">
        <v>7.0000000000000007E-2</v>
      </c>
      <c r="L9" s="45">
        <v>7.0000000000000007E-2</v>
      </c>
      <c r="M9" s="11" t="s">
        <v>153</v>
      </c>
    </row>
    <row r="10" spans="2:13" x14ac:dyDescent="0.2">
      <c r="B10" s="1" t="s">
        <v>132</v>
      </c>
      <c r="C10" s="15"/>
      <c r="D10" s="5">
        <f>D23/C23-1</f>
        <v>-9.4955489614241384E-2</v>
      </c>
      <c r="E10" s="5">
        <f t="shared" ref="E10:G10" si="4">E23/D23-1</f>
        <v>0.11639344262294959</v>
      </c>
      <c r="F10" s="5">
        <f t="shared" si="4"/>
        <v>0.16740088105727091</v>
      </c>
      <c r="G10" s="5">
        <f t="shared" si="4"/>
        <v>0.16352201257861387</v>
      </c>
      <c r="H10" s="43">
        <v>0.05</v>
      </c>
      <c r="I10" s="41">
        <v>0.05</v>
      </c>
      <c r="J10" s="41">
        <v>0.05</v>
      </c>
      <c r="K10" s="41">
        <v>0.05</v>
      </c>
      <c r="L10" s="41">
        <v>0.05</v>
      </c>
      <c r="M10" s="11" t="s">
        <v>154</v>
      </c>
    </row>
    <row r="11" spans="2:13" x14ac:dyDescent="0.2">
      <c r="B11" s="1" t="s">
        <v>133</v>
      </c>
      <c r="C11" s="15"/>
      <c r="D11" s="5">
        <f>D27/C27-1</f>
        <v>6.9106662549188513E-2</v>
      </c>
      <c r="E11" s="5">
        <f t="shared" ref="E11:G11" si="5">E27/D27-1</f>
        <v>-4.3846847943996847E-3</v>
      </c>
      <c r="F11" s="5">
        <f t="shared" si="5"/>
        <v>-6.124508283279817E-2</v>
      </c>
      <c r="G11" s="5">
        <f t="shared" si="5"/>
        <v>2.6157462713303659E-2</v>
      </c>
      <c r="H11" s="43">
        <v>0.02</v>
      </c>
      <c r="I11" s="41">
        <v>0.02</v>
      </c>
      <c r="J11" s="41">
        <v>0.02</v>
      </c>
      <c r="K11" s="41">
        <v>0.02</v>
      </c>
      <c r="L11" s="41">
        <v>0.02</v>
      </c>
      <c r="M11" s="11" t="s">
        <v>155</v>
      </c>
    </row>
    <row r="12" spans="2:13" x14ac:dyDescent="0.2">
      <c r="B12" s="1" t="s">
        <v>156</v>
      </c>
      <c r="C12" s="15"/>
      <c r="D12" s="5">
        <f>D33/C33-1</f>
        <v>8.4585233053074527E-2</v>
      </c>
      <c r="E12" s="5">
        <f>E33/D33-1</f>
        <v>8.7916836147405197E-2</v>
      </c>
      <c r="F12" s="5">
        <f>F33/E33-1</f>
        <v>8.9929548990168584E-3</v>
      </c>
      <c r="G12" s="5">
        <f>G33/F33-1</f>
        <v>0.10445626494316973</v>
      </c>
      <c r="H12" s="43">
        <v>0.05</v>
      </c>
      <c r="I12" s="45">
        <v>0.05</v>
      </c>
      <c r="J12" s="45">
        <v>0.05</v>
      </c>
      <c r="K12" s="45">
        <v>0.05</v>
      </c>
      <c r="L12" s="45">
        <v>0.05</v>
      </c>
      <c r="M12" s="11" t="s">
        <v>175</v>
      </c>
    </row>
    <row r="13" spans="2:13" x14ac:dyDescent="0.2">
      <c r="B13" s="1" t="s">
        <v>157</v>
      </c>
      <c r="C13" s="15"/>
      <c r="D13" s="5">
        <f>D34/C34-1</f>
        <v>0.3547392357310799</v>
      </c>
      <c r="E13" s="5">
        <f t="shared" ref="E13:G13" si="6">E34/D34-1</f>
        <v>-0.12205132088380111</v>
      </c>
      <c r="F13" s="5">
        <f t="shared" si="6"/>
        <v>-0.11709127998133217</v>
      </c>
      <c r="G13" s="5">
        <f t="shared" si="6"/>
        <v>-6.3098201305941237E-2</v>
      </c>
      <c r="H13" s="43">
        <v>0.04</v>
      </c>
      <c r="I13" s="41">
        <v>0</v>
      </c>
      <c r="J13" s="41">
        <v>0.02</v>
      </c>
      <c r="K13" s="41">
        <v>0.02</v>
      </c>
      <c r="L13" s="41">
        <v>0.02</v>
      </c>
      <c r="M13" s="11" t="s">
        <v>176</v>
      </c>
    </row>
    <row r="14" spans="2:13" x14ac:dyDescent="0.2">
      <c r="B14" s="1" t="s">
        <v>158</v>
      </c>
      <c r="C14" s="15"/>
      <c r="D14" s="5">
        <f>D35/C35-1</f>
        <v>6.3610788536997642E-2</v>
      </c>
      <c r="E14" s="5">
        <f t="shared" ref="E14:G14" si="7">E35/D35-1</f>
        <v>6.5903893771823707E-3</v>
      </c>
      <c r="F14" s="5">
        <f t="shared" si="7"/>
        <v>-3.6473616444858914E-2</v>
      </c>
      <c r="G14" s="5">
        <f t="shared" si="7"/>
        <v>-3.3224255116116153E-2</v>
      </c>
      <c r="H14" s="43">
        <v>0.02</v>
      </c>
      <c r="I14" s="41">
        <v>0.01</v>
      </c>
      <c r="J14" s="41">
        <v>0.01</v>
      </c>
      <c r="K14" s="41">
        <v>0.01</v>
      </c>
      <c r="L14" s="41">
        <v>0.01</v>
      </c>
      <c r="M14" s="11" t="s">
        <v>177</v>
      </c>
    </row>
    <row r="15" spans="2:13" x14ac:dyDescent="0.2">
      <c r="B15" s="1" t="s">
        <v>159</v>
      </c>
      <c r="C15" s="15"/>
      <c r="D15" s="5">
        <f>D37/C37-1</f>
        <v>1.213368085917832E-2</v>
      </c>
      <c r="E15" s="5">
        <f t="shared" ref="E15:G15" si="8">E37/D37-1</f>
        <v>2.3339665405687438E-2</v>
      </c>
      <c r="F15" s="5">
        <f t="shared" si="8"/>
        <v>1.2783006622054449E-2</v>
      </c>
      <c r="G15" s="5">
        <f t="shared" si="8"/>
        <v>-1.9024841378062152E-2</v>
      </c>
      <c r="H15" s="43">
        <v>0.03</v>
      </c>
      <c r="I15" s="41">
        <v>0.03</v>
      </c>
      <c r="J15" s="41">
        <v>0.03</v>
      </c>
      <c r="K15" s="41">
        <v>0.03</v>
      </c>
      <c r="L15" s="41">
        <v>0.03</v>
      </c>
      <c r="M15" s="11" t="s">
        <v>178</v>
      </c>
    </row>
    <row r="16" spans="2:13" x14ac:dyDescent="0.2">
      <c r="B16" s="1" t="s">
        <v>160</v>
      </c>
      <c r="C16" s="15"/>
      <c r="D16" s="5">
        <f>IS!D15/IS!C15-1</f>
        <v>8.0473372781065144E-2</v>
      </c>
      <c r="E16" s="5">
        <f>IS!E15/IS!D15-1</f>
        <v>0.10916392844103684</v>
      </c>
      <c r="F16" s="5">
        <f>IS!F15/IS!E15-1</f>
        <v>0.18663594470046085</v>
      </c>
      <c r="G16" s="5">
        <f>IS!G15/IS!F15-1</f>
        <v>0.15450762829403608</v>
      </c>
      <c r="H16" s="43">
        <v>0.08</v>
      </c>
      <c r="I16" s="41">
        <v>0.08</v>
      </c>
      <c r="J16" s="41">
        <v>0.08</v>
      </c>
      <c r="K16" s="41">
        <v>0.08</v>
      </c>
      <c r="L16" s="41">
        <v>0.08</v>
      </c>
      <c r="M16" s="11" t="s">
        <v>179</v>
      </c>
    </row>
    <row r="17" spans="2:13" x14ac:dyDescent="0.2">
      <c r="B17" s="1" t="s">
        <v>327</v>
      </c>
      <c r="C17" s="22"/>
      <c r="D17" s="22"/>
      <c r="E17" s="22"/>
      <c r="F17" s="22"/>
      <c r="G17" s="22"/>
      <c r="H17" s="78">
        <v>0.85</v>
      </c>
      <c r="I17" s="79">
        <v>0.85</v>
      </c>
      <c r="J17" s="79">
        <v>0.85</v>
      </c>
      <c r="K17" s="79">
        <v>0.85</v>
      </c>
      <c r="L17" s="79">
        <v>0.85</v>
      </c>
      <c r="M17" s="11"/>
    </row>
    <row r="18" spans="2:13" x14ac:dyDescent="0.2">
      <c r="M18" s="11"/>
    </row>
    <row r="19" spans="2:13" x14ac:dyDescent="0.2">
      <c r="B19" s="94" t="s">
        <v>116</v>
      </c>
      <c r="C19" s="94"/>
      <c r="D19" s="94"/>
      <c r="E19" s="94"/>
      <c r="F19" s="94"/>
      <c r="G19" s="94"/>
      <c r="H19" s="98"/>
      <c r="I19" s="98"/>
      <c r="J19" s="98"/>
      <c r="K19" s="98"/>
      <c r="L19" s="98"/>
    </row>
    <row r="20" spans="2:13" x14ac:dyDescent="0.2">
      <c r="B20" s="1" t="s">
        <v>137</v>
      </c>
      <c r="C20" s="24">
        <f>Ops_Data!D14</f>
        <v>112.94999999999999</v>
      </c>
      <c r="D20" s="24">
        <f>Ops_Data!E14</f>
        <v>120.75</v>
      </c>
      <c r="E20" s="24">
        <f>Ops_Data!F14</f>
        <v>133.875</v>
      </c>
      <c r="F20" s="24">
        <f>Ops_Data!G14</f>
        <v>162.10000000000002</v>
      </c>
      <c r="G20" s="24">
        <f>Ops_Data!H14</f>
        <v>187.4</v>
      </c>
      <c r="H20" s="31">
        <f>(G7+H7)/2</f>
        <v>199.35000000000002</v>
      </c>
      <c r="I20" s="47">
        <f>(H7+I7)/2</f>
        <v>222.20000000000002</v>
      </c>
      <c r="J20" s="47">
        <f>(I7+J7)/2</f>
        <v>241.10000000000002</v>
      </c>
      <c r="K20" s="47">
        <f>(J7+K7)/2</f>
        <v>249.10000000000002</v>
      </c>
      <c r="L20" s="47">
        <f>(K7+L7)/2</f>
        <v>257.10000000000002</v>
      </c>
      <c r="M20" s="11" t="s">
        <v>143</v>
      </c>
    </row>
    <row r="21" spans="2:13" x14ac:dyDescent="0.2">
      <c r="B21" s="1" t="s">
        <v>127</v>
      </c>
      <c r="C21" s="24">
        <f>Ops_Data!D9</f>
        <v>87.25</v>
      </c>
      <c r="D21" s="24">
        <f>Ops_Data!E9</f>
        <v>99.6</v>
      </c>
      <c r="E21" s="24">
        <f>Ops_Data!F9</f>
        <v>112.23</v>
      </c>
      <c r="F21" s="24">
        <f>Ops_Data!G9</f>
        <v>127.88</v>
      </c>
      <c r="G21" s="24">
        <f>Ops_Data!H9</f>
        <v>145</v>
      </c>
      <c r="H21" s="26">
        <f>G21*(1+H9)</f>
        <v>159.5</v>
      </c>
      <c r="I21" s="27">
        <f>H21*(1+I9)</f>
        <v>173.85500000000002</v>
      </c>
      <c r="J21" s="27">
        <f>I21*(1+J9)</f>
        <v>187.76340000000002</v>
      </c>
      <c r="K21" s="27">
        <f>J21*(1+K9)</f>
        <v>200.90683800000002</v>
      </c>
      <c r="L21" s="27">
        <f>K21*(1+L9)</f>
        <v>214.97031666000004</v>
      </c>
      <c r="M21" s="11" t="s">
        <v>144</v>
      </c>
    </row>
    <row r="22" spans="2:13" x14ac:dyDescent="0.2">
      <c r="B22" s="1" t="s">
        <v>136</v>
      </c>
      <c r="C22" s="5">
        <f>C21/C20</f>
        <v>0.77246569278441801</v>
      </c>
      <c r="D22" s="5">
        <f t="shared" ref="D22:G22" si="9">D21/D20</f>
        <v>0.82484472049689439</v>
      </c>
      <c r="E22" s="5">
        <f t="shared" si="9"/>
        <v>0.83831932773109241</v>
      </c>
      <c r="F22" s="5">
        <f t="shared" si="9"/>
        <v>0.78889574336829105</v>
      </c>
      <c r="G22" s="5">
        <f t="shared" si="9"/>
        <v>0.77374599786552822</v>
      </c>
      <c r="H22" s="44">
        <f>H21/H20</f>
        <v>0.80010032605969394</v>
      </c>
      <c r="I22" s="42">
        <f>I21/I20</f>
        <v>0.78242574257425745</v>
      </c>
      <c r="J22" s="42">
        <f t="shared" ref="J22:K22" si="10">J21/J20</f>
        <v>0.77877810037328909</v>
      </c>
      <c r="K22" s="42">
        <f t="shared" si="10"/>
        <v>0.80653086310718591</v>
      </c>
      <c r="L22" s="42">
        <f>L21/L20</f>
        <v>0.83613503173862314</v>
      </c>
      <c r="M22" s="11" t="s">
        <v>145</v>
      </c>
    </row>
    <row r="23" spans="2:13" x14ac:dyDescent="0.2">
      <c r="B23" s="1" t="s">
        <v>134</v>
      </c>
      <c r="C23" s="23">
        <f>Ops_Data!D10-Ops_Forecast!C21</f>
        <v>6.7399999999999949</v>
      </c>
      <c r="D23" s="23">
        <f>Ops_Data!E10-Ops_Forecast!D21</f>
        <v>6.1000000000000085</v>
      </c>
      <c r="E23" s="23">
        <f>Ops_Data!F10-Ops_Forecast!E21</f>
        <v>6.8100000000000023</v>
      </c>
      <c r="F23" s="23">
        <f>Ops_Data!G10-Ops_Forecast!F21</f>
        <v>7.9500000000000171</v>
      </c>
      <c r="G23" s="23">
        <f>Ops_Data!H10-Ops_Forecast!G21</f>
        <v>9.25</v>
      </c>
      <c r="H23" s="32">
        <f>G23*(1+H10)</f>
        <v>9.7125000000000004</v>
      </c>
      <c r="I23" s="28">
        <f>H23*(1+I10)</f>
        <v>10.198125000000001</v>
      </c>
      <c r="J23" s="28">
        <f>I23*(1+J10)</f>
        <v>10.708031250000001</v>
      </c>
      <c r="K23" s="28">
        <f>J23*(1+K10)</f>
        <v>11.243432812500002</v>
      </c>
      <c r="L23" s="28">
        <f>K23*(1+L10)</f>
        <v>11.805604453125003</v>
      </c>
      <c r="M23" s="11" t="s">
        <v>439</v>
      </c>
    </row>
    <row r="24" spans="2:13" x14ac:dyDescent="0.2">
      <c r="B24" s="1" t="s">
        <v>138</v>
      </c>
      <c r="C24" s="9">
        <f>C21+C23</f>
        <v>93.99</v>
      </c>
      <c r="D24" s="9">
        <f t="shared" ref="D24:G24" si="11">D21+D23</f>
        <v>105.7</v>
      </c>
      <c r="E24" s="9">
        <f t="shared" si="11"/>
        <v>119.04</v>
      </c>
      <c r="F24" s="9">
        <f t="shared" si="11"/>
        <v>135.83000000000001</v>
      </c>
      <c r="G24" s="9">
        <f t="shared" si="11"/>
        <v>154.25</v>
      </c>
      <c r="H24" s="32">
        <f>H21+H23</f>
        <v>169.21250000000001</v>
      </c>
      <c r="I24" s="28">
        <f>I21+I23</f>
        <v>184.05312500000002</v>
      </c>
      <c r="J24" s="28">
        <f t="shared" ref="J24:L24" si="12">J21+J23</f>
        <v>198.47143125000002</v>
      </c>
      <c r="K24" s="28">
        <f t="shared" si="12"/>
        <v>212.15027081250003</v>
      </c>
      <c r="L24" s="28">
        <f t="shared" si="12"/>
        <v>226.77592111312504</v>
      </c>
      <c r="M24" s="11" t="s">
        <v>146</v>
      </c>
    </row>
    <row r="25" spans="2:13" x14ac:dyDescent="0.2">
      <c r="H25" s="9"/>
      <c r="I25" s="9"/>
      <c r="J25" s="9"/>
      <c r="K25" s="9"/>
      <c r="L25" s="9"/>
    </row>
    <row r="26" spans="2:13" x14ac:dyDescent="0.2">
      <c r="B26" s="94" t="s">
        <v>111</v>
      </c>
      <c r="C26" s="94"/>
      <c r="D26" s="94"/>
      <c r="E26" s="94"/>
      <c r="F26" s="94"/>
      <c r="G26" s="94"/>
      <c r="H26" s="94"/>
      <c r="I26" s="94"/>
      <c r="J26" s="94"/>
      <c r="K26" s="94"/>
      <c r="L26" s="94"/>
    </row>
    <row r="27" spans="2:13" x14ac:dyDescent="0.2">
      <c r="B27" s="1" t="s">
        <v>119</v>
      </c>
      <c r="C27" s="25">
        <f>Ops_Data!D17</f>
        <v>5596.2336418767964</v>
      </c>
      <c r="D27" s="25">
        <f>Ops_Data!E17</f>
        <v>5982.9706717123927</v>
      </c>
      <c r="E27" s="25">
        <f>Ops_Data!F17</f>
        <v>5956.7372311827958</v>
      </c>
      <c r="F27" s="25">
        <f>Ops_Data!G17</f>
        <v>5591.9163660457925</v>
      </c>
      <c r="G27" s="25">
        <f>Ops_Data!H17</f>
        <v>5738.1867098865478</v>
      </c>
      <c r="H27" s="38">
        <f>G27*(1+H11)</f>
        <v>5852.9504440842784</v>
      </c>
      <c r="I27" s="39">
        <f>H27*(1+I11)</f>
        <v>5970.0094529659636</v>
      </c>
      <c r="J27" s="39">
        <f>I27*(1+J11)</f>
        <v>6089.4096420252827</v>
      </c>
      <c r="K27" s="39">
        <f>J27*(1+K11)</f>
        <v>6211.1978348657885</v>
      </c>
      <c r="L27" s="39">
        <f>K27*(1+L11)</f>
        <v>6335.4217915631043</v>
      </c>
      <c r="M27" s="11" t="s">
        <v>147</v>
      </c>
    </row>
    <row r="28" spans="2:13" x14ac:dyDescent="0.2">
      <c r="B28" s="1" t="s">
        <v>120</v>
      </c>
      <c r="C28" s="22">
        <f>C24*C27/10</f>
        <v>52599.000000000015</v>
      </c>
      <c r="D28" s="22">
        <f t="shared" ref="D28:G28" si="13">D24*D27/10</f>
        <v>63239.999999999985</v>
      </c>
      <c r="E28" s="22">
        <f t="shared" si="13"/>
        <v>70909</v>
      </c>
      <c r="F28" s="22">
        <f t="shared" si="13"/>
        <v>75955.000000000015</v>
      </c>
      <c r="G28" s="22">
        <f t="shared" si="13"/>
        <v>88511.53</v>
      </c>
      <c r="H28" s="40">
        <f>H24*H27/10</f>
        <v>99039.237701961101</v>
      </c>
      <c r="I28" s="37">
        <f>I24*I27/10</f>
        <v>109879.88960979262</v>
      </c>
      <c r="J28" s="37">
        <f t="shared" ref="J28:L28" si="14">J24*J27/10</f>
        <v>120857.38471203081</v>
      </c>
      <c r="K28" s="37">
        <f t="shared" si="14"/>
        <v>131770.73027367907</v>
      </c>
      <c r="L28" s="37">
        <f t="shared" si="14"/>
        <v>143672.11124218878</v>
      </c>
      <c r="M28" s="11" t="s">
        <v>148</v>
      </c>
    </row>
    <row r="29" spans="2:13" x14ac:dyDescent="0.2">
      <c r="B29" s="1" t="s">
        <v>139</v>
      </c>
      <c r="C29" s="3"/>
      <c r="D29" s="5">
        <f>D28/C28-1</f>
        <v>0.20230422631608902</v>
      </c>
      <c r="E29" s="5">
        <f t="shared" ref="E29:G29" si="15">E28/D28-1</f>
        <v>0.12126818469323242</v>
      </c>
      <c r="F29" s="5">
        <f t="shared" si="15"/>
        <v>7.1161629694397321E-2</v>
      </c>
      <c r="G29" s="5">
        <f t="shared" si="15"/>
        <v>0.16531538410901159</v>
      </c>
      <c r="H29" s="44">
        <f>H28/G28-1</f>
        <v>0.11894165316045391</v>
      </c>
      <c r="I29" s="42">
        <f>I28/H28-1</f>
        <v>0.10945815173228923</v>
      </c>
      <c r="J29" s="42">
        <f t="shared" ref="J29:L29" si="16">J28/I28-1</f>
        <v>9.9904497003242998E-2</v>
      </c>
      <c r="K29" s="42">
        <f t="shared" si="16"/>
        <v>9.0299368860675688E-2</v>
      </c>
      <c r="L29" s="42">
        <f t="shared" si="16"/>
        <v>9.0318851112013432E-2</v>
      </c>
      <c r="M29" s="11" t="s">
        <v>149</v>
      </c>
    </row>
    <row r="31" spans="2:13" x14ac:dyDescent="0.2">
      <c r="B31" s="94" t="s">
        <v>162</v>
      </c>
      <c r="C31" s="94"/>
      <c r="D31" s="94"/>
      <c r="E31" s="94"/>
      <c r="F31" s="94"/>
      <c r="G31" s="94"/>
      <c r="H31" s="94"/>
      <c r="I31" s="98"/>
      <c r="J31" s="98"/>
      <c r="K31" s="98"/>
      <c r="L31" s="98"/>
    </row>
    <row r="32" spans="2:13" x14ac:dyDescent="0.2">
      <c r="B32" s="1" t="s">
        <v>161</v>
      </c>
      <c r="C32" s="25">
        <f>IS!C15</f>
        <v>2535</v>
      </c>
      <c r="D32" s="25">
        <f>IS!D15</f>
        <v>2739</v>
      </c>
      <c r="E32" s="25">
        <f>IS!E15</f>
        <v>3038</v>
      </c>
      <c r="F32" s="25">
        <f>IS!F15</f>
        <v>3605</v>
      </c>
      <c r="G32" s="25">
        <f>IS!G15</f>
        <v>4162</v>
      </c>
      <c r="H32" s="48">
        <f>G32*(1+H16)</f>
        <v>4494.96</v>
      </c>
      <c r="I32" s="49">
        <f t="shared" ref="I32:L32" si="17">H32*(1+I16)</f>
        <v>4854.5568000000003</v>
      </c>
      <c r="J32" s="49">
        <f t="shared" si="17"/>
        <v>5242.9213440000003</v>
      </c>
      <c r="K32" s="49">
        <f t="shared" si="17"/>
        <v>5662.3550515200004</v>
      </c>
      <c r="L32" s="49">
        <f t="shared" si="17"/>
        <v>6115.3434556416005</v>
      </c>
      <c r="M32" s="11" t="s">
        <v>180</v>
      </c>
    </row>
    <row r="33" spans="2:13" x14ac:dyDescent="0.2">
      <c r="B33" s="1" t="s">
        <v>163</v>
      </c>
      <c r="C33" s="25">
        <f>(IS!C12+IS!C13+IS!C14)*10/Ops_Forecast!C24</f>
        <v>847.43057772103418</v>
      </c>
      <c r="D33" s="25">
        <f>(IS!D12+IS!D13+IS!D14)*10/Ops_Forecast!D24</f>
        <v>919.11069063386947</v>
      </c>
      <c r="E33" s="25">
        <f>(IS!E12+IS!E13+IS!E14)*10/Ops_Forecast!E24</f>
        <v>999.91599462365582</v>
      </c>
      <c r="F33" s="25">
        <f>(IS!F12+IS!F13+IS!F14)*10/Ops_Forecast!F24</f>
        <v>1008.9081940661119</v>
      </c>
      <c r="G33" s="25">
        <f>(IS!G12+IS!G13+IS!G14)*10/Ops_Forecast!G24</f>
        <v>1114.2949756888167</v>
      </c>
      <c r="H33" s="40">
        <f t="shared" ref="H33:L35" si="18">G33*(1+H12)</f>
        <v>1170.0097244732576</v>
      </c>
      <c r="I33" s="37">
        <f t="shared" si="18"/>
        <v>1228.5102106969205</v>
      </c>
      <c r="J33" s="37">
        <f t="shared" si="18"/>
        <v>1289.9357212317666</v>
      </c>
      <c r="K33" s="37">
        <f t="shared" si="18"/>
        <v>1354.432507293355</v>
      </c>
      <c r="L33" s="37">
        <f t="shared" si="18"/>
        <v>1422.1541326580227</v>
      </c>
      <c r="M33" s="11" t="s">
        <v>181</v>
      </c>
    </row>
    <row r="34" spans="2:13" x14ac:dyDescent="0.2">
      <c r="B34" s="1" t="s">
        <v>164</v>
      </c>
      <c r="C34" s="25">
        <f>(IS!C16)*10/Ops_Forecast!C24</f>
        <v>1291.3075859133951</v>
      </c>
      <c r="D34" s="25">
        <f>(IS!D16)*10/Ops_Forecast!D24</f>
        <v>1749.3850520340586</v>
      </c>
      <c r="E34" s="25">
        <f>(IS!E16)*10/Ops_Forecast!E24</f>
        <v>1535.8702956989246</v>
      </c>
      <c r="F34" s="25">
        <f>(IS!F16)*10/Ops_Forecast!F24</f>
        <v>1356.0332768902304</v>
      </c>
      <c r="G34" s="25">
        <f>(IS!G16)*10/Ops_Forecast!G24</f>
        <v>1270.4700162074555</v>
      </c>
      <c r="H34" s="21">
        <f t="shared" si="18"/>
        <v>1321.2888168557538</v>
      </c>
      <c r="I34" s="19">
        <f t="shared" si="18"/>
        <v>1321.2888168557538</v>
      </c>
      <c r="J34" s="19">
        <f t="shared" si="18"/>
        <v>1347.714593192869</v>
      </c>
      <c r="K34" s="19">
        <f t="shared" si="18"/>
        <v>1374.6688850567264</v>
      </c>
      <c r="L34" s="19">
        <f t="shared" si="18"/>
        <v>1402.1622627578608</v>
      </c>
      <c r="M34" s="11" t="s">
        <v>182</v>
      </c>
    </row>
    <row r="35" spans="2:13" x14ac:dyDescent="0.2">
      <c r="B35" s="1" t="s">
        <v>165</v>
      </c>
      <c r="C35" s="25">
        <f>(IS!C17)*10/Ops_Forecast!C24</f>
        <v>1246.0900095754869</v>
      </c>
      <c r="D35" s="25">
        <f>(IS!D17)*10/Ops_Forecast!D24</f>
        <v>1325.3547776726584</v>
      </c>
      <c r="E35" s="25">
        <f>(IS!E17)*10/Ops_Forecast!E24</f>
        <v>1334.0893817204301</v>
      </c>
      <c r="F35" s="25">
        <f>(IS!F17)*10/Ops_Forecast!F24</f>
        <v>1285.4303173084002</v>
      </c>
      <c r="G35" s="25">
        <f>(IS!G17)*10/Ops_Forecast!G24</f>
        <v>1242.7228525121557</v>
      </c>
      <c r="H35" s="21">
        <f t="shared" si="18"/>
        <v>1267.5773095623988</v>
      </c>
      <c r="I35" s="19">
        <f t="shared" si="18"/>
        <v>1280.2530826580228</v>
      </c>
      <c r="J35" s="19">
        <f t="shared" si="18"/>
        <v>1293.0556134846031</v>
      </c>
      <c r="K35" s="19">
        <f t="shared" si="18"/>
        <v>1305.9861696194491</v>
      </c>
      <c r="L35" s="19">
        <f t="shared" si="18"/>
        <v>1319.0460313156436</v>
      </c>
      <c r="M35" s="11" t="s">
        <v>183</v>
      </c>
    </row>
    <row r="36" spans="2:13" x14ac:dyDescent="0.2">
      <c r="B36" s="1" t="s">
        <v>166</v>
      </c>
      <c r="C36" s="22">
        <f>C32/C24*10</f>
        <v>269.70954356846471</v>
      </c>
      <c r="D36" s="22">
        <f t="shared" ref="D36:G36" si="19">D32/D24*10</f>
        <v>259.12961210974453</v>
      </c>
      <c r="E36" s="22">
        <f t="shared" si="19"/>
        <v>255.20833333333331</v>
      </c>
      <c r="F36" s="22">
        <f t="shared" si="19"/>
        <v>265.40528601928878</v>
      </c>
      <c r="G36" s="22">
        <f t="shared" si="19"/>
        <v>269.82171799027549</v>
      </c>
      <c r="H36" s="21">
        <f>H32/H24*10</f>
        <v>265.63994976730442</v>
      </c>
      <c r="I36" s="19">
        <f>I32/I24*10</f>
        <v>263.75845560894442</v>
      </c>
      <c r="J36" s="19">
        <f t="shared" ref="J36:L36" si="20">J32/J24*10</f>
        <v>264.1650393197333</v>
      </c>
      <c r="K36" s="19">
        <f t="shared" si="20"/>
        <v>266.90303197983809</v>
      </c>
      <c r="L36" s="19">
        <f t="shared" si="20"/>
        <v>269.66458456544063</v>
      </c>
      <c r="M36" s="11" t="s">
        <v>184</v>
      </c>
    </row>
    <row r="37" spans="2:13" x14ac:dyDescent="0.2">
      <c r="B37" s="1" t="s">
        <v>167</v>
      </c>
      <c r="C37" s="25">
        <f>(IS!C18)*10/Ops_Forecast!C24</f>
        <v>716.56559208426427</v>
      </c>
      <c r="D37" s="25">
        <f>(IS!D18)*10/Ops_Forecast!D24</f>
        <v>725.26017029328284</v>
      </c>
      <c r="E37" s="25">
        <f>(IS!E18)*10/Ops_Forecast!E24</f>
        <v>742.1875</v>
      </c>
      <c r="F37" s="25">
        <f>(IS!F18)*10/Ops_Forecast!F24</f>
        <v>751.6748877273061</v>
      </c>
      <c r="G37" s="25">
        <f>(IS!G18)*10/Ops_Forecast!G24</f>
        <v>737.37439222042144</v>
      </c>
      <c r="H37" s="21">
        <f>G37*(1+H15)</f>
        <v>759.49562398703415</v>
      </c>
      <c r="I37" s="19">
        <f>H37*(1+I15)</f>
        <v>782.28049270664519</v>
      </c>
      <c r="J37" s="19">
        <f>I37*(1+J15)</f>
        <v>805.74890748784458</v>
      </c>
      <c r="K37" s="19">
        <f>J37*(1+K15)</f>
        <v>829.92137471247997</v>
      </c>
      <c r="L37" s="19">
        <f>K37*(1+L15)</f>
        <v>854.81901595385443</v>
      </c>
      <c r="M37" s="11" t="s">
        <v>185</v>
      </c>
    </row>
    <row r="38" spans="2:13" x14ac:dyDescent="0.2">
      <c r="B38" s="1" t="s">
        <v>168</v>
      </c>
      <c r="C38" s="2">
        <f t="shared" ref="C38:L38" si="21">SUM(C33:C37)</f>
        <v>4371.1033088626455</v>
      </c>
      <c r="D38" s="2">
        <f t="shared" si="21"/>
        <v>4978.2403027436139</v>
      </c>
      <c r="E38" s="2">
        <f t="shared" si="21"/>
        <v>4867.2715053763441</v>
      </c>
      <c r="F38" s="2">
        <f t="shared" si="21"/>
        <v>4667.4519620113369</v>
      </c>
      <c r="G38" s="2">
        <f t="shared" si="21"/>
        <v>4634.683954619125</v>
      </c>
      <c r="H38" s="21">
        <f t="shared" si="21"/>
        <v>4784.0114246457497</v>
      </c>
      <c r="I38" s="19">
        <f t="shared" si="21"/>
        <v>4876.0910585262873</v>
      </c>
      <c r="J38" s="19">
        <f t="shared" si="21"/>
        <v>5000.6198747168164</v>
      </c>
      <c r="K38" s="19">
        <f t="shared" si="21"/>
        <v>5131.9119686618487</v>
      </c>
      <c r="L38" s="19">
        <f t="shared" si="21"/>
        <v>5267.8460272508219</v>
      </c>
      <c r="M38" s="11" t="s">
        <v>186</v>
      </c>
    </row>
    <row r="39" spans="2:13" x14ac:dyDescent="0.2">
      <c r="B39" s="4" t="s">
        <v>169</v>
      </c>
      <c r="C39" s="2">
        <f t="shared" ref="C39:L39" si="22">C27-C38</f>
        <v>1225.1303330141509</v>
      </c>
      <c r="D39" s="2">
        <f t="shared" si="22"/>
        <v>1004.7303689687787</v>
      </c>
      <c r="E39" s="2">
        <f t="shared" si="22"/>
        <v>1089.4657258064517</v>
      </c>
      <c r="F39" s="2">
        <f t="shared" si="22"/>
        <v>924.46440403445558</v>
      </c>
      <c r="G39" s="2">
        <f t="shared" si="22"/>
        <v>1103.5027552674228</v>
      </c>
      <c r="H39" s="21">
        <f t="shared" si="22"/>
        <v>1068.9390194385287</v>
      </c>
      <c r="I39" s="19">
        <f t="shared" si="22"/>
        <v>1093.9183944396764</v>
      </c>
      <c r="J39" s="19">
        <f t="shared" si="22"/>
        <v>1088.7897673084663</v>
      </c>
      <c r="K39" s="19">
        <f t="shared" si="22"/>
        <v>1079.2858662039398</v>
      </c>
      <c r="L39" s="19">
        <f t="shared" si="22"/>
        <v>1067.5757643122824</v>
      </c>
      <c r="M39" s="11" t="s">
        <v>440</v>
      </c>
    </row>
    <row r="41" spans="2:13" x14ac:dyDescent="0.2">
      <c r="B41" s="94" t="s">
        <v>174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11"/>
    </row>
    <row r="42" spans="2:13" x14ac:dyDescent="0.2">
      <c r="B42" s="1" t="s">
        <v>170</v>
      </c>
      <c r="C42" s="22">
        <f>C38*C24/10</f>
        <v>41084</v>
      </c>
      <c r="D42" s="22">
        <f t="shared" ref="D42:L42" si="23">D38*D24/10</f>
        <v>52620</v>
      </c>
      <c r="E42" s="22">
        <f t="shared" si="23"/>
        <v>57940</v>
      </c>
      <c r="F42" s="22">
        <f t="shared" si="23"/>
        <v>63398</v>
      </c>
      <c r="G42" s="22">
        <f t="shared" si="23"/>
        <v>71490</v>
      </c>
      <c r="H42" s="38">
        <f>H38*H24/10</f>
        <v>80951.453319286898</v>
      </c>
      <c r="I42" s="37">
        <f t="shared" si="23"/>
        <v>89745.97971063212</v>
      </c>
      <c r="J42" s="37">
        <f t="shared" si="23"/>
        <v>99248.018367224227</v>
      </c>
      <c r="K42" s="37">
        <f t="shared" si="23"/>
        <v>108873.65139375212</v>
      </c>
      <c r="L42" s="37">
        <f t="shared" si="23"/>
        <v>119462.06351119214</v>
      </c>
      <c r="M42" s="11" t="s">
        <v>187</v>
      </c>
    </row>
    <row r="43" spans="2:13" x14ac:dyDescent="0.2">
      <c r="B43" s="1" t="s">
        <v>171</v>
      </c>
      <c r="C43" s="22">
        <f>C28-C42</f>
        <v>11515.000000000015</v>
      </c>
      <c r="D43" s="22">
        <f t="shared" ref="D43:L43" si="24">D28-D42</f>
        <v>10619.999999999985</v>
      </c>
      <c r="E43" s="22">
        <f t="shared" si="24"/>
        <v>12969</v>
      </c>
      <c r="F43" s="22">
        <f t="shared" si="24"/>
        <v>12557.000000000015</v>
      </c>
      <c r="G43" s="22">
        <f t="shared" si="24"/>
        <v>17021.53</v>
      </c>
      <c r="H43" s="40">
        <f t="shared" si="24"/>
        <v>18087.784382674203</v>
      </c>
      <c r="I43" s="37">
        <f t="shared" si="24"/>
        <v>20133.909899160499</v>
      </c>
      <c r="J43" s="37">
        <f t="shared" si="24"/>
        <v>21609.366344806578</v>
      </c>
      <c r="K43" s="37">
        <f t="shared" si="24"/>
        <v>22897.07887992695</v>
      </c>
      <c r="L43" s="37">
        <f t="shared" si="24"/>
        <v>24210.047730996637</v>
      </c>
      <c r="M43" s="11" t="s">
        <v>441</v>
      </c>
    </row>
    <row r="44" spans="2:13" x14ac:dyDescent="0.2">
      <c r="B44" s="1" t="s">
        <v>172</v>
      </c>
      <c r="C44" s="52">
        <f>C43/C28</f>
        <v>0.21892051179680244</v>
      </c>
      <c r="D44" s="52">
        <f t="shared" ref="D44:L44" si="25">D43/D28</f>
        <v>0.16793168880455389</v>
      </c>
      <c r="E44" s="52">
        <f t="shared" si="25"/>
        <v>0.18289638832870297</v>
      </c>
      <c r="F44" s="52">
        <f t="shared" si="25"/>
        <v>0.16532157198341138</v>
      </c>
      <c r="G44" s="52">
        <f t="shared" si="25"/>
        <v>0.19230861787159254</v>
      </c>
      <c r="H44" s="44">
        <f t="shared" si="25"/>
        <v>0.18263250810861242</v>
      </c>
      <c r="I44" s="42">
        <f t="shared" si="25"/>
        <v>0.1832356218290753</v>
      </c>
      <c r="J44" s="42">
        <f t="shared" si="25"/>
        <v>0.17880054575312571</v>
      </c>
      <c r="K44" s="42">
        <f t="shared" si="25"/>
        <v>0.17376452898432934</v>
      </c>
      <c r="L44" s="42">
        <f t="shared" si="25"/>
        <v>0.16850902740745308</v>
      </c>
      <c r="M44" s="11" t="s">
        <v>188</v>
      </c>
    </row>
    <row r="45" spans="2:13" x14ac:dyDescent="0.2">
      <c r="B45" s="1" t="s">
        <v>173</v>
      </c>
      <c r="C45" s="3"/>
      <c r="D45" s="5">
        <f>D43/C43-1</f>
        <v>-7.7724706904040652E-2</v>
      </c>
      <c r="E45" s="5">
        <f t="shared" ref="E45:L45" si="26">E43/D43-1</f>
        <v>0.22118644067796778</v>
      </c>
      <c r="F45" s="5">
        <f t="shared" si="26"/>
        <v>-3.1768062302412359E-2</v>
      </c>
      <c r="G45" s="5">
        <f t="shared" si="26"/>
        <v>0.35554113243608976</v>
      </c>
      <c r="H45" s="54">
        <f t="shared" si="26"/>
        <v>6.2641512406593547E-2</v>
      </c>
      <c r="I45" s="53">
        <f t="shared" si="26"/>
        <v>0.11312195419833859</v>
      </c>
      <c r="J45" s="53">
        <f t="shared" si="26"/>
        <v>7.3282161936544687E-2</v>
      </c>
      <c r="K45" s="53">
        <f t="shared" si="26"/>
        <v>5.959048102444009E-2</v>
      </c>
      <c r="L45" s="53">
        <f t="shared" si="26"/>
        <v>5.7342198887244011E-2</v>
      </c>
      <c r="M45" s="11" t="s">
        <v>189</v>
      </c>
    </row>
    <row r="46" spans="2:13" x14ac:dyDescent="0.2">
      <c r="C46" s="3"/>
      <c r="D46" s="5"/>
      <c r="E46" s="5"/>
      <c r="F46" s="5"/>
      <c r="G46" s="5"/>
      <c r="H46" s="50"/>
      <c r="I46" s="51"/>
      <c r="J46" s="51"/>
      <c r="K46" s="51"/>
      <c r="L46" s="51"/>
    </row>
    <row r="47" spans="2:13" x14ac:dyDescent="0.2">
      <c r="B47" s="94" t="s">
        <v>140</v>
      </c>
      <c r="C47" s="94"/>
      <c r="D47" s="94"/>
      <c r="E47" s="94"/>
      <c r="F47" s="94"/>
      <c r="G47" s="94"/>
      <c r="H47" s="94"/>
      <c r="I47" s="94"/>
      <c r="J47" s="94"/>
      <c r="K47" s="94"/>
      <c r="L47" s="94"/>
    </row>
    <row r="48" spans="2:13" x14ac:dyDescent="0.2">
      <c r="B48" s="1" t="s">
        <v>320</v>
      </c>
      <c r="C48" s="22">
        <f>ROUND(C28-IS!C7,0)</f>
        <v>0</v>
      </c>
      <c r="D48" s="22">
        <f>ROUND(D28-IS!D7,0)</f>
        <v>0</v>
      </c>
      <c r="E48" s="22">
        <f>ROUND(E28-IS!E7,0)</f>
        <v>0</v>
      </c>
      <c r="F48" s="22">
        <f>ROUND(F28-IS!F7,0)</f>
        <v>0</v>
      </c>
      <c r="G48" s="22">
        <f>ROUND(G28-IS!G7,0)</f>
        <v>0</v>
      </c>
      <c r="H48" s="20"/>
      <c r="I48" s="18"/>
      <c r="J48" s="18"/>
      <c r="K48" s="18"/>
      <c r="L48" s="19"/>
      <c r="M48" s="11" t="s">
        <v>442</v>
      </c>
    </row>
    <row r="49" spans="2:13" x14ac:dyDescent="0.2">
      <c r="B49" s="1" t="s">
        <v>118</v>
      </c>
      <c r="H49" s="46" t="str">
        <f>IF(H22&gt;H17,"Add Capacity","OK")</f>
        <v>OK</v>
      </c>
      <c r="I49" s="80" t="str">
        <f>IF(I22&gt;I17,"Add Capacity","OK")</f>
        <v>OK</v>
      </c>
      <c r="J49" s="80" t="str">
        <f>IF(J22&gt;J17,"Add Capacity","OK")</f>
        <v>OK</v>
      </c>
      <c r="K49" s="80" t="str">
        <f>IF(K22&gt;K17,"Add Capacity","OK")</f>
        <v>OK</v>
      </c>
      <c r="L49" s="80" t="str">
        <f>IF(L22&gt;L17,"Add Capacity","OK")</f>
        <v>OK</v>
      </c>
      <c r="M49" s="11" t="s">
        <v>150</v>
      </c>
    </row>
    <row r="50" spans="2:13" x14ac:dyDescent="0.2">
      <c r="B50" s="1" t="s">
        <v>321</v>
      </c>
      <c r="C50" s="2">
        <f>ROUND(C39-Ops_Data!D18,0)</f>
        <v>0</v>
      </c>
      <c r="D50" s="2">
        <f>ROUND(D39-Ops_Data!E18,0)</f>
        <v>0</v>
      </c>
      <c r="E50" s="2">
        <f>ROUND(E39-Ops_Data!F18,0)</f>
        <v>0</v>
      </c>
      <c r="F50" s="2">
        <f>ROUND(F39-Ops_Data!G18,0)</f>
        <v>0</v>
      </c>
      <c r="G50" s="2">
        <f>ROUND(G39-Ops_Data!H18,0)</f>
        <v>0</v>
      </c>
      <c r="H50" s="21"/>
      <c r="I50" s="19"/>
      <c r="J50" s="19"/>
      <c r="K50" s="19"/>
      <c r="L50" s="19"/>
      <c r="M50" s="11" t="s">
        <v>443</v>
      </c>
    </row>
    <row r="51" spans="2:13" x14ac:dyDescent="0.2">
      <c r="B51" s="1" t="s">
        <v>319</v>
      </c>
      <c r="C51" s="2">
        <f>ROUND(C42-IS!C19,0)</f>
        <v>0</v>
      </c>
      <c r="D51" s="2">
        <f>ROUND(D42-IS!D19,0)</f>
        <v>0</v>
      </c>
      <c r="E51" s="2">
        <f>ROUND(E42-IS!E19,0)</f>
        <v>0</v>
      </c>
      <c r="F51" s="2">
        <f>ROUND(F42-IS!F19,0)</f>
        <v>0</v>
      </c>
      <c r="G51" s="2">
        <f>ROUND(G42-IS!G19,0)</f>
        <v>0</v>
      </c>
      <c r="H51" s="21"/>
      <c r="I51" s="19"/>
      <c r="J51" s="19"/>
      <c r="K51" s="19"/>
      <c r="L51" s="19"/>
      <c r="M51" s="11" t="s">
        <v>444</v>
      </c>
    </row>
    <row r="52" spans="2:13" x14ac:dyDescent="0.2">
      <c r="B52" s="1" t="s">
        <v>318</v>
      </c>
      <c r="C52" s="2">
        <f>ROUND(C43-IS!C22,0)</f>
        <v>0</v>
      </c>
      <c r="D52" s="2">
        <f>ROUND(D43-IS!D22,0)</f>
        <v>0</v>
      </c>
      <c r="E52" s="2">
        <f>ROUND(E43-IS!E22,0)</f>
        <v>0</v>
      </c>
      <c r="F52" s="2">
        <f>ROUND(F43-IS!F22,0)</f>
        <v>0</v>
      </c>
      <c r="G52" s="2">
        <f>ROUND(G43-IS!G22,0)</f>
        <v>0</v>
      </c>
      <c r="H52" s="21"/>
      <c r="I52" s="19"/>
      <c r="J52" s="19"/>
      <c r="K52" s="19"/>
      <c r="L52" s="19"/>
      <c r="M52" s="11" t="s">
        <v>445</v>
      </c>
    </row>
    <row r="53" spans="2:13" x14ac:dyDescent="0.2">
      <c r="M53" s="11"/>
    </row>
    <row r="54" spans="2:13" x14ac:dyDescent="0.2">
      <c r="M54" s="11"/>
    </row>
  </sheetData>
  <mergeCells count="7">
    <mergeCell ref="B2:L2"/>
    <mergeCell ref="B6:L6"/>
    <mergeCell ref="B19:L19"/>
    <mergeCell ref="B26:L26"/>
    <mergeCell ref="B47:L47"/>
    <mergeCell ref="B31:L31"/>
    <mergeCell ref="B41:L41"/>
  </mergeCells>
  <conditionalFormatting sqref="C3">
    <cfRule type="containsText" dxfId="8" priority="1" operator="containsText" text="OK">
      <formula>NOT(ISERROR(SEARCH("OK",C3)))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EEE0-15C9-44D0-9534-4A0D1583F46C}">
  <sheetPr>
    <tabColor theme="8" tint="0.39997558519241921"/>
  </sheetPr>
  <dimension ref="B2:M36"/>
  <sheetViews>
    <sheetView zoomScale="87" zoomScaleNormal="87" workbookViewId="0"/>
  </sheetViews>
  <sheetFormatPr defaultRowHeight="12.75" x14ac:dyDescent="0.2"/>
  <cols>
    <col min="1" max="1" width="2.7109375" style="1" customWidth="1"/>
    <col min="2" max="2" width="40.5703125" style="1" bestFit="1" customWidth="1"/>
    <col min="3" max="12" width="14.42578125" style="2" customWidth="1"/>
    <col min="13" max="13" width="139.85546875" style="1" bestFit="1" customWidth="1"/>
    <col min="14" max="16384" width="9.140625" style="1"/>
  </cols>
  <sheetData>
    <row r="2" spans="2:13" ht="18" x14ac:dyDescent="0.25">
      <c r="B2" s="95" t="s">
        <v>351</v>
      </c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2:13" x14ac:dyDescent="0.2">
      <c r="B3" s="1" t="s">
        <v>359</v>
      </c>
      <c r="C3" s="1" t="str">
        <f>Check!E4</f>
        <v>MODEL OK</v>
      </c>
    </row>
    <row r="5" spans="2:13" x14ac:dyDescent="0.2">
      <c r="C5" s="2" t="s">
        <v>100</v>
      </c>
      <c r="D5" s="2" t="s">
        <v>101</v>
      </c>
      <c r="E5" s="2" t="s">
        <v>102</v>
      </c>
      <c r="F5" s="2" t="s">
        <v>103</v>
      </c>
      <c r="G5" s="2" t="s">
        <v>104</v>
      </c>
      <c r="H5" s="2" t="s">
        <v>105</v>
      </c>
      <c r="I5" s="2" t="s">
        <v>106</v>
      </c>
      <c r="J5" s="2" t="s">
        <v>107</v>
      </c>
      <c r="K5" s="2" t="s">
        <v>108</v>
      </c>
      <c r="L5" s="2" t="s">
        <v>109</v>
      </c>
      <c r="M5" s="1" t="s">
        <v>142</v>
      </c>
    </row>
    <row r="6" spans="2:13" x14ac:dyDescent="0.2">
      <c r="B6" s="94" t="s">
        <v>201</v>
      </c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2:13" x14ac:dyDescent="0.2">
      <c r="B7" s="1" t="s">
        <v>202</v>
      </c>
      <c r="H7" s="20">
        <v>10000</v>
      </c>
      <c r="I7" s="18">
        <v>10000</v>
      </c>
      <c r="J7" s="18">
        <v>10000</v>
      </c>
      <c r="K7" s="18">
        <v>0</v>
      </c>
      <c r="L7" s="18">
        <v>0</v>
      </c>
      <c r="M7" s="11" t="s">
        <v>213</v>
      </c>
    </row>
    <row r="8" spans="2:13" x14ac:dyDescent="0.2">
      <c r="B8" s="1" t="s">
        <v>203</v>
      </c>
      <c r="H8" s="55">
        <v>600</v>
      </c>
      <c r="I8" s="18">
        <v>600</v>
      </c>
      <c r="J8" s="18">
        <v>600</v>
      </c>
      <c r="K8" s="18">
        <v>600</v>
      </c>
      <c r="L8" s="18">
        <v>600</v>
      </c>
      <c r="M8" s="11" t="s">
        <v>214</v>
      </c>
    </row>
    <row r="9" spans="2:13" x14ac:dyDescent="0.2">
      <c r="B9" s="1" t="s">
        <v>204</v>
      </c>
      <c r="C9" s="3"/>
      <c r="D9" s="5"/>
      <c r="E9" s="5"/>
      <c r="F9" s="5"/>
      <c r="G9" s="5"/>
      <c r="H9" s="55">
        <v>150</v>
      </c>
      <c r="I9" s="37">
        <f>H9*(1+I10)</f>
        <v>157.5</v>
      </c>
      <c r="J9" s="37">
        <f t="shared" ref="J9:L9" si="0">I9*(1+J10)</f>
        <v>165.375</v>
      </c>
      <c r="K9" s="37">
        <f t="shared" si="0"/>
        <v>173.64375000000001</v>
      </c>
      <c r="L9" s="37">
        <f t="shared" si="0"/>
        <v>182.32593750000001</v>
      </c>
      <c r="M9" s="11" t="s">
        <v>215</v>
      </c>
    </row>
    <row r="10" spans="2:13" x14ac:dyDescent="0.2">
      <c r="B10" s="1" t="s">
        <v>206</v>
      </c>
      <c r="C10" s="3"/>
      <c r="D10" s="5"/>
      <c r="E10" s="5"/>
      <c r="F10" s="5"/>
      <c r="G10" s="5"/>
      <c r="H10" s="55"/>
      <c r="I10" s="45">
        <v>0.05</v>
      </c>
      <c r="J10" s="45">
        <v>0.05</v>
      </c>
      <c r="K10" s="45">
        <v>0.05</v>
      </c>
      <c r="L10" s="45">
        <v>0.05</v>
      </c>
      <c r="M10" s="11" t="s">
        <v>216</v>
      </c>
    </row>
    <row r="11" spans="2:13" x14ac:dyDescent="0.2">
      <c r="B11" s="1" t="s">
        <v>208</v>
      </c>
      <c r="C11" s="3"/>
      <c r="D11" s="5"/>
      <c r="E11" s="5"/>
      <c r="F11" s="5"/>
      <c r="G11" s="5"/>
      <c r="H11" s="43">
        <v>5.2999999999999999E-2</v>
      </c>
      <c r="I11" s="45">
        <v>5.2999999999999999E-2</v>
      </c>
      <c r="J11" s="45">
        <v>5.2999999999999999E-2</v>
      </c>
      <c r="K11" s="45">
        <v>5.2999999999999999E-2</v>
      </c>
      <c r="L11" s="45">
        <v>5.2999999999999999E-2</v>
      </c>
      <c r="M11" s="11" t="s">
        <v>217</v>
      </c>
    </row>
    <row r="12" spans="2:13" x14ac:dyDescent="0.2">
      <c r="B12" s="1" t="s">
        <v>209</v>
      </c>
      <c r="C12" s="88"/>
      <c r="D12" s="88">
        <v>0.5</v>
      </c>
      <c r="E12" s="88">
        <v>0.5</v>
      </c>
      <c r="F12" s="88">
        <v>0.5</v>
      </c>
      <c r="G12" s="88">
        <v>0.5</v>
      </c>
      <c r="H12" s="43">
        <v>0.5</v>
      </c>
      <c r="I12" s="45">
        <v>0.5</v>
      </c>
      <c r="J12" s="45">
        <v>0.5</v>
      </c>
      <c r="K12" s="45">
        <v>0.5</v>
      </c>
      <c r="L12" s="45">
        <v>0.5</v>
      </c>
      <c r="M12" s="11" t="s">
        <v>218</v>
      </c>
    </row>
    <row r="13" spans="2:13" x14ac:dyDescent="0.2">
      <c r="B13" s="1" t="s">
        <v>210</v>
      </c>
      <c r="C13" s="3"/>
      <c r="D13" s="5"/>
      <c r="E13" s="5"/>
      <c r="F13" s="5"/>
      <c r="G13" s="5"/>
      <c r="H13" s="55">
        <v>0</v>
      </c>
      <c r="I13" s="18">
        <v>0</v>
      </c>
      <c r="J13" s="18">
        <v>0</v>
      </c>
      <c r="K13" s="18">
        <v>0</v>
      </c>
      <c r="L13" s="18">
        <v>0</v>
      </c>
      <c r="M13" s="11" t="s">
        <v>219</v>
      </c>
    </row>
    <row r="14" spans="2:13" ht="15" x14ac:dyDescent="0.25">
      <c r="B14"/>
      <c r="C14" s="3"/>
      <c r="D14" s="5"/>
      <c r="E14" s="5"/>
      <c r="F14" s="5"/>
      <c r="G14" s="5"/>
      <c r="H14" s="3"/>
      <c r="I14" s="3"/>
      <c r="J14" s="3"/>
      <c r="K14" s="3"/>
      <c r="L14" s="3"/>
    </row>
    <row r="15" spans="2:13" x14ac:dyDescent="0.2">
      <c r="B15" s="94" t="s">
        <v>196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11"/>
    </row>
    <row r="16" spans="2:13" x14ac:dyDescent="0.2">
      <c r="B16" s="1" t="s">
        <v>141</v>
      </c>
      <c r="C16" s="14"/>
      <c r="D16" s="23">
        <f>Ops_Forecast!D8</f>
        <v>12.400000000000006</v>
      </c>
      <c r="E16" s="23">
        <f>Ops_Forecast!E8</f>
        <v>13.850000000000009</v>
      </c>
      <c r="F16" s="23">
        <f>Ops_Forecast!F8</f>
        <v>42.599999999999994</v>
      </c>
      <c r="G16" s="23">
        <f>Ops_Forecast!G8</f>
        <v>8</v>
      </c>
      <c r="H16" s="57">
        <f>Ops_Forecast!H8</f>
        <v>15.9</v>
      </c>
      <c r="I16" s="58">
        <f>Ops_Forecast!I8</f>
        <v>29.8</v>
      </c>
      <c r="J16" s="58">
        <f>Ops_Forecast!J8</f>
        <v>8</v>
      </c>
      <c r="K16" s="58">
        <f>Ops_Forecast!K8</f>
        <v>8</v>
      </c>
      <c r="L16" s="58">
        <f>Ops_Forecast!L8</f>
        <v>8</v>
      </c>
      <c r="M16" s="11" t="s">
        <v>220</v>
      </c>
    </row>
    <row r="17" spans="2:13" x14ac:dyDescent="0.2">
      <c r="B17" s="1" t="s">
        <v>205</v>
      </c>
      <c r="C17" s="14"/>
      <c r="D17" s="22"/>
      <c r="E17" s="22"/>
      <c r="F17" s="22"/>
      <c r="G17" s="22"/>
      <c r="H17" s="40">
        <f>Ops_Forecast!H24*Capex_DA!H9/10</f>
        <v>2538.1875</v>
      </c>
      <c r="I17" s="37">
        <f>Ops_Forecast!I24*Capex_DA!I9/10</f>
        <v>2898.8367187500003</v>
      </c>
      <c r="J17" s="37">
        <f>Ops_Forecast!J24*Capex_DA!J9/10</f>
        <v>3282.2212942968754</v>
      </c>
      <c r="K17" s="37">
        <f>Ops_Forecast!K24*Capex_DA!K9/10</f>
        <v>3683.8568587398054</v>
      </c>
      <c r="L17" s="37">
        <f>Ops_Forecast!L24*Capex_DA!L9/10</f>
        <v>4134.7132419376567</v>
      </c>
      <c r="M17" s="11" t="s">
        <v>221</v>
      </c>
    </row>
    <row r="18" spans="2:13" x14ac:dyDescent="0.2">
      <c r="B18" s="1" t="s">
        <v>207</v>
      </c>
      <c r="C18" s="14"/>
      <c r="D18" s="22"/>
      <c r="E18" s="22"/>
      <c r="F18" s="22"/>
      <c r="G18" s="22"/>
      <c r="H18" s="40">
        <f>IF(H7&gt;0,H7-H17,H16*H8)</f>
        <v>7461.8125</v>
      </c>
      <c r="I18" s="37">
        <f t="shared" ref="I18" si="1">IF(I7&gt;0,I7-I17,I16*I8)</f>
        <v>7101.1632812499993</v>
      </c>
      <c r="J18" s="37">
        <f t="shared" ref="J18" si="2">IF(J7&gt;0,J7-J17,J16*J8)</f>
        <v>6717.7787057031246</v>
      </c>
      <c r="K18" s="37">
        <f t="shared" ref="K18:L18" si="3">IF(K7&gt;0,K7-K17,K16*K8)</f>
        <v>4800</v>
      </c>
      <c r="L18" s="37">
        <f t="shared" si="3"/>
        <v>4800</v>
      </c>
      <c r="M18" s="11" t="s">
        <v>446</v>
      </c>
    </row>
    <row r="19" spans="2:13" x14ac:dyDescent="0.2">
      <c r="B19" s="1" t="s">
        <v>190</v>
      </c>
      <c r="C19" s="25">
        <f>-CF!C13</f>
        <v>5613</v>
      </c>
      <c r="D19" s="25">
        <f>-CF!D13</f>
        <v>6200.49</v>
      </c>
      <c r="E19" s="25">
        <f>-CF!E13</f>
        <v>9006</v>
      </c>
      <c r="F19" s="25">
        <f>-CF!F13</f>
        <v>9129</v>
      </c>
      <c r="G19" s="25">
        <f>-CF!G13</f>
        <v>9678</v>
      </c>
      <c r="H19" s="40">
        <f>H17+H18</f>
        <v>10000</v>
      </c>
      <c r="I19" s="37">
        <f>I17+I18</f>
        <v>10000</v>
      </c>
      <c r="J19" s="37">
        <f t="shared" ref="J19:L19" si="4">J17+J18</f>
        <v>10000</v>
      </c>
      <c r="K19" s="37">
        <f t="shared" si="4"/>
        <v>8483.8568587398058</v>
      </c>
      <c r="L19" s="37">
        <f t="shared" si="4"/>
        <v>8934.7132419376576</v>
      </c>
      <c r="M19" s="11" t="s">
        <v>222</v>
      </c>
    </row>
    <row r="20" spans="2:13" x14ac:dyDescent="0.2">
      <c r="B20" s="1" t="s">
        <v>211</v>
      </c>
      <c r="C20" s="25"/>
      <c r="D20" s="22">
        <f>D27+(D12*D19)</f>
        <v>51648.245000000003</v>
      </c>
      <c r="E20" s="22">
        <f t="shared" ref="E20:G20" si="5">E27+(E12*E19)</f>
        <v>56209</v>
      </c>
      <c r="F20" s="22">
        <f t="shared" si="5"/>
        <v>62389.5</v>
      </c>
      <c r="G20" s="22">
        <f t="shared" si="5"/>
        <v>87878</v>
      </c>
      <c r="H20" s="40">
        <f>H27+(H12*H19)</f>
        <v>94274</v>
      </c>
      <c r="I20" s="37">
        <f t="shared" ref="I20:L20" si="6">I27+(I12*I19)</f>
        <v>99277.478000000003</v>
      </c>
      <c r="J20" s="37">
        <f t="shared" si="6"/>
        <v>104015.771666</v>
      </c>
      <c r="K20" s="37">
        <f t="shared" si="6"/>
        <v>107744.8641970719</v>
      </c>
      <c r="L20" s="37">
        <f t="shared" si="6"/>
        <v>110743.67144496582</v>
      </c>
      <c r="M20" s="11" t="s">
        <v>223</v>
      </c>
    </row>
    <row r="21" spans="2:13" x14ac:dyDescent="0.2">
      <c r="B21" s="1" t="s">
        <v>208</v>
      </c>
      <c r="C21" s="25"/>
      <c r="D21" s="52">
        <f>D22/D20</f>
        <v>5.5916711206740903E-2</v>
      </c>
      <c r="E21" s="52">
        <f t="shared" ref="E21:G21" si="7">E22/E20</f>
        <v>5.5951893824832323E-2</v>
      </c>
      <c r="F21" s="52">
        <f t="shared" si="7"/>
        <v>6.4353777478582133E-2</v>
      </c>
      <c r="G21" s="52">
        <f t="shared" si="7"/>
        <v>5.2845991033023051E-2</v>
      </c>
      <c r="H21" s="44">
        <f>H11</f>
        <v>5.2999999999999999E-2</v>
      </c>
      <c r="I21" s="62">
        <f t="shared" ref="I21:L21" si="8">I11</f>
        <v>5.2999999999999999E-2</v>
      </c>
      <c r="J21" s="62">
        <f t="shared" si="8"/>
        <v>5.2999999999999999E-2</v>
      </c>
      <c r="K21" s="62">
        <f t="shared" si="8"/>
        <v>5.2999999999999999E-2</v>
      </c>
      <c r="L21" s="62">
        <f t="shared" si="8"/>
        <v>5.2999999999999999E-2</v>
      </c>
      <c r="M21" s="11" t="s">
        <v>224</v>
      </c>
    </row>
    <row r="22" spans="2:13" x14ac:dyDescent="0.2">
      <c r="B22" s="1" t="s">
        <v>191</v>
      </c>
      <c r="C22" s="25">
        <f>IS!C24</f>
        <v>2715</v>
      </c>
      <c r="D22" s="25">
        <f>IS!D24</f>
        <v>2888</v>
      </c>
      <c r="E22" s="25">
        <f>IS!E24</f>
        <v>3145</v>
      </c>
      <c r="F22" s="25">
        <f>IS!F24</f>
        <v>4015</v>
      </c>
      <c r="G22" s="25">
        <f>IS!G24</f>
        <v>4644</v>
      </c>
      <c r="H22" s="65">
        <f>H20*H21</f>
        <v>4996.5219999999999</v>
      </c>
      <c r="I22" s="66">
        <f>I20*I21</f>
        <v>5261.7063340000004</v>
      </c>
      <c r="J22" s="66">
        <f t="shared" ref="J22:L22" si="9">J20*J21</f>
        <v>5512.8358982979998</v>
      </c>
      <c r="K22" s="66">
        <f t="shared" si="9"/>
        <v>5710.4778024448105</v>
      </c>
      <c r="L22" s="66">
        <f t="shared" si="9"/>
        <v>5869.4145865831879</v>
      </c>
      <c r="M22" s="11" t="s">
        <v>225</v>
      </c>
    </row>
    <row r="23" spans="2:13" x14ac:dyDescent="0.2">
      <c r="B23" s="1" t="s">
        <v>192</v>
      </c>
      <c r="C23" s="25">
        <f>BS!C7</f>
        <v>48548</v>
      </c>
      <c r="D23" s="25">
        <f>BS!D7</f>
        <v>51706</v>
      </c>
      <c r="E23" s="25">
        <f>BS!E7</f>
        <v>57825</v>
      </c>
      <c r="F23" s="25">
        <f>BS!F7</f>
        <v>83039</v>
      </c>
      <c r="G23" s="25">
        <f>BS!G7</f>
        <v>89274</v>
      </c>
      <c r="H23" s="40">
        <f>H30+H31</f>
        <v>94277.478000000003</v>
      </c>
      <c r="I23" s="37">
        <f t="shared" ref="I23:L23" si="10">I30+I31</f>
        <v>99015.771666000001</v>
      </c>
      <c r="J23" s="37">
        <f t="shared" si="10"/>
        <v>103502.935767702</v>
      </c>
      <c r="K23" s="37">
        <f t="shared" si="10"/>
        <v>106276.31482399699</v>
      </c>
      <c r="L23" s="37">
        <f t="shared" si="10"/>
        <v>109341.61347935146</v>
      </c>
      <c r="M23" s="11" t="s">
        <v>226</v>
      </c>
    </row>
    <row r="24" spans="2:13" x14ac:dyDescent="0.2">
      <c r="B24" s="1" t="s">
        <v>193</v>
      </c>
      <c r="C24" s="14">
        <f t="shared" ref="C24:H24" si="11">C19/C22</f>
        <v>2.0674033149171271</v>
      </c>
      <c r="D24" s="14">
        <f t="shared" si="11"/>
        <v>2.1469840720221605</v>
      </c>
      <c r="E24" s="14">
        <f t="shared" si="11"/>
        <v>2.8635930047694753</v>
      </c>
      <c r="F24" s="14">
        <f t="shared" si="11"/>
        <v>2.2737235367372355</v>
      </c>
      <c r="G24" s="14">
        <f t="shared" si="11"/>
        <v>2.0839793281653747</v>
      </c>
      <c r="H24" s="63">
        <f t="shared" si="11"/>
        <v>2.0013921683923339</v>
      </c>
      <c r="I24" s="64">
        <f t="shared" ref="I24:L24" si="12">I19/I22</f>
        <v>1.9005241579869592</v>
      </c>
      <c r="J24" s="64">
        <f t="shared" si="12"/>
        <v>1.8139484259067715</v>
      </c>
      <c r="K24" s="64">
        <f t="shared" si="12"/>
        <v>1.4856649744978672</v>
      </c>
      <c r="L24" s="64">
        <f t="shared" si="12"/>
        <v>1.5222494697105555</v>
      </c>
      <c r="M24" s="11" t="s">
        <v>227</v>
      </c>
    </row>
    <row r="25" spans="2:13" x14ac:dyDescent="0.2">
      <c r="M25" s="11"/>
    </row>
    <row r="26" spans="2:13" x14ac:dyDescent="0.2">
      <c r="B26" s="94" t="s">
        <v>197</v>
      </c>
      <c r="C26" s="94"/>
      <c r="D26" s="94"/>
      <c r="E26" s="94"/>
      <c r="F26" s="94"/>
      <c r="G26" s="94"/>
      <c r="H26" s="98"/>
      <c r="I26" s="98"/>
      <c r="J26" s="98"/>
      <c r="K26" s="98"/>
      <c r="L26" s="98"/>
      <c r="M26" s="11"/>
    </row>
    <row r="27" spans="2:13" x14ac:dyDescent="0.2">
      <c r="B27" s="1" t="s">
        <v>198</v>
      </c>
      <c r="D27" s="22">
        <f>C23</f>
        <v>48548</v>
      </c>
      <c r="E27" s="22">
        <f t="shared" ref="E27:G27" si="13">D23</f>
        <v>51706</v>
      </c>
      <c r="F27" s="22">
        <f t="shared" si="13"/>
        <v>57825</v>
      </c>
      <c r="G27" s="22">
        <f t="shared" si="13"/>
        <v>83039</v>
      </c>
      <c r="H27" s="38">
        <f>G23</f>
        <v>89274</v>
      </c>
      <c r="I27" s="39">
        <f t="shared" ref="I27:L27" si="14">H23</f>
        <v>94277.478000000003</v>
      </c>
      <c r="J27" s="39">
        <f t="shared" si="14"/>
        <v>99015.771666000001</v>
      </c>
      <c r="K27" s="39">
        <f t="shared" si="14"/>
        <v>103502.935767702</v>
      </c>
      <c r="L27" s="39">
        <f t="shared" si="14"/>
        <v>106276.31482399699</v>
      </c>
      <c r="M27" s="11" t="s">
        <v>228</v>
      </c>
    </row>
    <row r="28" spans="2:13" x14ac:dyDescent="0.2">
      <c r="B28" s="81" t="s">
        <v>199</v>
      </c>
      <c r="D28" s="22">
        <f>D19</f>
        <v>6200.49</v>
      </c>
      <c r="E28" s="22">
        <f t="shared" ref="E28:G28" si="15">E19</f>
        <v>9006</v>
      </c>
      <c r="F28" s="22">
        <f t="shared" si="15"/>
        <v>9129</v>
      </c>
      <c r="G28" s="22">
        <f t="shared" si="15"/>
        <v>9678</v>
      </c>
      <c r="H28" s="40">
        <f>H19</f>
        <v>10000</v>
      </c>
      <c r="I28" s="37">
        <f t="shared" ref="I28:L28" si="16">I19</f>
        <v>10000</v>
      </c>
      <c r="J28" s="37">
        <f t="shared" si="16"/>
        <v>10000</v>
      </c>
      <c r="K28" s="37">
        <f t="shared" si="16"/>
        <v>8483.8568587398058</v>
      </c>
      <c r="L28" s="37">
        <f t="shared" si="16"/>
        <v>8934.7132419376576</v>
      </c>
      <c r="M28" s="11" t="s">
        <v>229</v>
      </c>
    </row>
    <row r="29" spans="2:13" x14ac:dyDescent="0.2">
      <c r="B29" s="81" t="s">
        <v>200</v>
      </c>
      <c r="D29" s="22">
        <f>-D22</f>
        <v>-2888</v>
      </c>
      <c r="E29" s="22">
        <f t="shared" ref="E29:G29" si="17">-E22</f>
        <v>-3145</v>
      </c>
      <c r="F29" s="22">
        <f t="shared" si="17"/>
        <v>-4015</v>
      </c>
      <c r="G29" s="22">
        <f t="shared" si="17"/>
        <v>-4644</v>
      </c>
      <c r="H29" s="40">
        <f>-H22</f>
        <v>-4996.5219999999999</v>
      </c>
      <c r="I29" s="37">
        <f t="shared" ref="I29:L29" si="18">-I22</f>
        <v>-5261.7063340000004</v>
      </c>
      <c r="J29" s="37">
        <f t="shared" si="18"/>
        <v>-5512.8358982979998</v>
      </c>
      <c r="K29" s="37">
        <f t="shared" si="18"/>
        <v>-5710.4778024448105</v>
      </c>
      <c r="L29" s="37">
        <f t="shared" si="18"/>
        <v>-5869.4145865831879</v>
      </c>
      <c r="M29" s="11" t="s">
        <v>230</v>
      </c>
    </row>
    <row r="30" spans="2:13" x14ac:dyDescent="0.2">
      <c r="B30" s="1" t="s">
        <v>194</v>
      </c>
      <c r="C30" s="14"/>
      <c r="D30" s="22">
        <f>SUM(D27:D29)</f>
        <v>51860.49</v>
      </c>
      <c r="E30" s="22">
        <f t="shared" ref="E30:G30" si="19">SUM(E27:E29)</f>
        <v>57567</v>
      </c>
      <c r="F30" s="22">
        <f t="shared" si="19"/>
        <v>62939</v>
      </c>
      <c r="G30" s="22">
        <f t="shared" si="19"/>
        <v>88073</v>
      </c>
      <c r="H30" s="40">
        <f>SUM(H27:H29)</f>
        <v>94277.478000000003</v>
      </c>
      <c r="I30" s="37">
        <f t="shared" ref="I30:L30" si="20">SUM(I27:I29)</f>
        <v>99015.771666000001</v>
      </c>
      <c r="J30" s="37">
        <f t="shared" si="20"/>
        <v>103502.935767702</v>
      </c>
      <c r="K30" s="37">
        <f t="shared" si="20"/>
        <v>106276.31482399699</v>
      </c>
      <c r="L30" s="37">
        <f t="shared" si="20"/>
        <v>109341.61347935146</v>
      </c>
      <c r="M30" s="11" t="s">
        <v>432</v>
      </c>
    </row>
    <row r="31" spans="2:13" x14ac:dyDescent="0.2">
      <c r="B31" s="1" t="s">
        <v>195</v>
      </c>
      <c r="C31" s="14"/>
      <c r="D31" s="22">
        <f>D23-D30</f>
        <v>-154.48999999999796</v>
      </c>
      <c r="E31" s="22">
        <f>E23-E30</f>
        <v>258</v>
      </c>
      <c r="F31" s="22">
        <f>F23-F30</f>
        <v>20100</v>
      </c>
      <c r="G31" s="22">
        <f>G23-G30</f>
        <v>1201</v>
      </c>
      <c r="H31" s="56">
        <f>H13</f>
        <v>0</v>
      </c>
      <c r="I31" s="30">
        <f>I13</f>
        <v>0</v>
      </c>
      <c r="J31" s="30">
        <f t="shared" ref="J31:L31" si="21">J13</f>
        <v>0</v>
      </c>
      <c r="K31" s="30">
        <f t="shared" si="21"/>
        <v>0</v>
      </c>
      <c r="L31" s="30">
        <f t="shared" si="21"/>
        <v>0</v>
      </c>
      <c r="M31" s="11" t="s">
        <v>447</v>
      </c>
    </row>
    <row r="32" spans="2:13" x14ac:dyDescent="0.2">
      <c r="H32" s="9"/>
      <c r="I32" s="9"/>
      <c r="J32" s="9"/>
      <c r="K32" s="9"/>
      <c r="L32" s="9"/>
      <c r="M32" s="11"/>
    </row>
    <row r="33" spans="2:13" x14ac:dyDescent="0.2">
      <c r="B33" s="94" t="s">
        <v>140</v>
      </c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11"/>
    </row>
    <row r="34" spans="2:13" x14ac:dyDescent="0.2">
      <c r="B34" s="1" t="s">
        <v>212</v>
      </c>
      <c r="C34" s="22"/>
      <c r="D34" s="22">
        <f t="shared" ref="D34:L34" si="22">ROUND(D23-D30-D31,0)</f>
        <v>0</v>
      </c>
      <c r="E34" s="22">
        <f t="shared" si="22"/>
        <v>0</v>
      </c>
      <c r="F34" s="22">
        <f t="shared" si="22"/>
        <v>0</v>
      </c>
      <c r="G34" s="22">
        <f t="shared" si="22"/>
        <v>0</v>
      </c>
      <c r="H34" s="38">
        <f t="shared" si="22"/>
        <v>0</v>
      </c>
      <c r="I34" s="37">
        <f t="shared" si="22"/>
        <v>0</v>
      </c>
      <c r="J34" s="37">
        <f t="shared" si="22"/>
        <v>0</v>
      </c>
      <c r="K34" s="37">
        <f t="shared" si="22"/>
        <v>0</v>
      </c>
      <c r="L34" s="37">
        <f t="shared" si="22"/>
        <v>0</v>
      </c>
      <c r="M34" s="11" t="s">
        <v>448</v>
      </c>
    </row>
    <row r="35" spans="2:13" x14ac:dyDescent="0.2">
      <c r="M35" s="11"/>
    </row>
    <row r="36" spans="2:13" x14ac:dyDescent="0.2">
      <c r="M36" s="11"/>
    </row>
  </sheetData>
  <mergeCells count="5">
    <mergeCell ref="B15:L15"/>
    <mergeCell ref="B26:L26"/>
    <mergeCell ref="B6:L6"/>
    <mergeCell ref="B33:L33"/>
    <mergeCell ref="B2:L2"/>
  </mergeCells>
  <conditionalFormatting sqref="C3">
    <cfRule type="containsText" dxfId="7" priority="1" operator="containsText" text="OK">
      <formula>NOT(ISERROR(SEARCH("OK",C3)))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8BD9-1BFE-4EB1-A07B-22D768B0DF3F}">
  <sheetPr>
    <tabColor theme="7" tint="0.39997558519241921"/>
  </sheetPr>
  <dimension ref="B2:M32"/>
  <sheetViews>
    <sheetView zoomScale="87" zoomScaleNormal="87" workbookViewId="0"/>
  </sheetViews>
  <sheetFormatPr defaultRowHeight="12.75" x14ac:dyDescent="0.2"/>
  <cols>
    <col min="1" max="1" width="2.7109375" style="1" customWidth="1"/>
    <col min="2" max="2" width="43" style="1" bestFit="1" customWidth="1"/>
    <col min="3" max="12" width="14.42578125" style="2" customWidth="1"/>
    <col min="13" max="13" width="139.85546875" style="1" bestFit="1" customWidth="1"/>
    <col min="14" max="16384" width="9.140625" style="1"/>
  </cols>
  <sheetData>
    <row r="2" spans="2:13" ht="18" x14ac:dyDescent="0.25">
      <c r="B2" s="95" t="s">
        <v>350</v>
      </c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2:13" x14ac:dyDescent="0.2">
      <c r="B3" s="1" t="s">
        <v>359</v>
      </c>
      <c r="C3" s="1" t="str">
        <f>Check!E4</f>
        <v>MODEL OK</v>
      </c>
    </row>
    <row r="5" spans="2:13" x14ac:dyDescent="0.2">
      <c r="C5" s="2" t="s">
        <v>100</v>
      </c>
      <c r="D5" s="2" t="s">
        <v>101</v>
      </c>
      <c r="E5" s="2" t="s">
        <v>102</v>
      </c>
      <c r="F5" s="2" t="s">
        <v>103</v>
      </c>
      <c r="G5" s="2" t="s">
        <v>104</v>
      </c>
      <c r="H5" s="2" t="s">
        <v>105</v>
      </c>
      <c r="I5" s="2" t="s">
        <v>106</v>
      </c>
      <c r="J5" s="2" t="s">
        <v>107</v>
      </c>
      <c r="K5" s="2" t="s">
        <v>108</v>
      </c>
      <c r="L5" s="2" t="s">
        <v>109</v>
      </c>
      <c r="M5" s="1" t="s">
        <v>142</v>
      </c>
    </row>
    <row r="6" spans="2:13" x14ac:dyDescent="0.2">
      <c r="B6" s="94" t="s">
        <v>201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11"/>
    </row>
    <row r="7" spans="2:13" x14ac:dyDescent="0.2">
      <c r="B7" s="1" t="s">
        <v>52</v>
      </c>
      <c r="C7" s="15"/>
      <c r="D7" s="15"/>
      <c r="E7" s="15"/>
      <c r="F7" s="15"/>
      <c r="G7" s="15"/>
      <c r="H7" s="68">
        <v>24</v>
      </c>
      <c r="I7" s="69">
        <v>23</v>
      </c>
      <c r="J7" s="69">
        <v>22</v>
      </c>
      <c r="K7" s="69">
        <v>22</v>
      </c>
      <c r="L7" s="69">
        <v>22</v>
      </c>
      <c r="M7" s="11" t="s">
        <v>239</v>
      </c>
    </row>
    <row r="8" spans="2:13" x14ac:dyDescent="0.2">
      <c r="B8" s="1" t="s">
        <v>51</v>
      </c>
      <c r="C8" s="15"/>
      <c r="D8" s="15"/>
      <c r="E8" s="15"/>
      <c r="F8" s="15"/>
      <c r="G8" s="15"/>
      <c r="H8" s="70">
        <v>40</v>
      </c>
      <c r="I8" s="69">
        <v>40</v>
      </c>
      <c r="J8" s="69">
        <v>40</v>
      </c>
      <c r="K8" s="69">
        <v>40</v>
      </c>
      <c r="L8" s="69">
        <v>40</v>
      </c>
      <c r="M8" s="11" t="s">
        <v>240</v>
      </c>
    </row>
    <row r="9" spans="2:13" x14ac:dyDescent="0.2">
      <c r="B9" s="1" t="s">
        <v>53</v>
      </c>
      <c r="C9" s="15"/>
      <c r="D9" s="15"/>
      <c r="E9" s="15"/>
      <c r="F9" s="15"/>
      <c r="G9" s="15"/>
      <c r="H9" s="70">
        <v>42</v>
      </c>
      <c r="I9" s="69">
        <v>42</v>
      </c>
      <c r="J9" s="69">
        <v>42</v>
      </c>
      <c r="K9" s="69">
        <v>42</v>
      </c>
      <c r="L9" s="69">
        <v>42</v>
      </c>
      <c r="M9" s="11" t="s">
        <v>241</v>
      </c>
    </row>
    <row r="10" spans="2:13" ht="15" x14ac:dyDescent="0.25">
      <c r="B10"/>
      <c r="C10" s="3"/>
      <c r="D10" s="5"/>
      <c r="E10" s="5"/>
      <c r="F10" s="5"/>
      <c r="G10" s="5"/>
      <c r="H10" s="3"/>
      <c r="I10" s="3"/>
      <c r="J10" s="3"/>
      <c r="K10" s="3"/>
      <c r="L10" s="3"/>
      <c r="M10" s="11"/>
    </row>
    <row r="11" spans="2:13" x14ac:dyDescent="0.2">
      <c r="B11" s="94" t="s">
        <v>231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11"/>
    </row>
    <row r="12" spans="2:13" x14ac:dyDescent="0.2">
      <c r="B12" s="1" t="s">
        <v>120</v>
      </c>
      <c r="C12" s="25">
        <f>Ops_Forecast!C28</f>
        <v>52599.000000000015</v>
      </c>
      <c r="D12" s="25">
        <f>Ops_Forecast!D28</f>
        <v>63239.999999999985</v>
      </c>
      <c r="E12" s="25">
        <f>Ops_Forecast!E28</f>
        <v>70909</v>
      </c>
      <c r="F12" s="25">
        <f>Ops_Forecast!F28</f>
        <v>75955.000000000015</v>
      </c>
      <c r="G12" s="25">
        <f>Ops_Forecast!G28</f>
        <v>88511.53</v>
      </c>
      <c r="H12" s="67">
        <f>Ops_Forecast!H28</f>
        <v>99039.237701961101</v>
      </c>
      <c r="I12" s="59">
        <f>Ops_Forecast!I28</f>
        <v>109879.88960979262</v>
      </c>
      <c r="J12" s="59">
        <f>Ops_Forecast!J28</f>
        <v>120857.38471203081</v>
      </c>
      <c r="K12" s="59">
        <f>Ops_Forecast!K28</f>
        <v>131770.73027367907</v>
      </c>
      <c r="L12" s="59">
        <f>Ops_Forecast!L28</f>
        <v>143672.11124218878</v>
      </c>
      <c r="M12" s="11" t="s">
        <v>242</v>
      </c>
    </row>
    <row r="13" spans="2:13" x14ac:dyDescent="0.2">
      <c r="B13" s="1" t="s">
        <v>232</v>
      </c>
      <c r="C13" s="25">
        <f>BS!C13</f>
        <v>3072</v>
      </c>
      <c r="D13" s="25">
        <f>BS!D13</f>
        <v>3867</v>
      </c>
      <c r="E13" s="25">
        <f>BS!E13</f>
        <v>4278</v>
      </c>
      <c r="F13" s="25">
        <f>BS!F13</f>
        <v>5890</v>
      </c>
      <c r="G13" s="25">
        <f>BS!G13</f>
        <v>6029</v>
      </c>
      <c r="H13" s="40">
        <f>H7*H12/365</f>
        <v>6512.1690543755249</v>
      </c>
      <c r="I13" s="37">
        <f>I7*I12/365</f>
        <v>6923.9382493841922</v>
      </c>
      <c r="J13" s="37">
        <f>J7*J12/365</f>
        <v>7284.55469497172</v>
      </c>
      <c r="K13" s="37">
        <f>K7*K12/365</f>
        <v>7942.3453863587383</v>
      </c>
      <c r="L13" s="37">
        <f>L7*L12/365</f>
        <v>8659.6888967894611</v>
      </c>
      <c r="M13" s="11" t="s">
        <v>243</v>
      </c>
    </row>
    <row r="14" spans="2:13" x14ac:dyDescent="0.2">
      <c r="B14" s="1" t="s">
        <v>233</v>
      </c>
      <c r="C14" s="25">
        <f>BS!C12</f>
        <v>5596</v>
      </c>
      <c r="D14" s="25">
        <f>BS!D12</f>
        <v>6612</v>
      </c>
      <c r="E14" s="25">
        <f>BS!E12</f>
        <v>8330</v>
      </c>
      <c r="F14" s="25">
        <f>BS!F12</f>
        <v>9563</v>
      </c>
      <c r="G14" s="25">
        <f>BS!G12</f>
        <v>9694</v>
      </c>
      <c r="H14" s="40">
        <f>H8*H12/365</f>
        <v>10853.615090625874</v>
      </c>
      <c r="I14" s="37">
        <f>I8*I12/365</f>
        <v>12041.631738059465</v>
      </c>
      <c r="J14" s="37">
        <f>J8*J12/365</f>
        <v>13244.644899948582</v>
      </c>
      <c r="K14" s="37">
        <f>K8*K12/365</f>
        <v>14440.627975197707</v>
      </c>
      <c r="L14" s="37">
        <f>L8*L12/365</f>
        <v>15744.888903253566</v>
      </c>
      <c r="M14" s="11" t="s">
        <v>244</v>
      </c>
    </row>
    <row r="15" spans="2:13" x14ac:dyDescent="0.2">
      <c r="B15" s="1" t="s">
        <v>234</v>
      </c>
      <c r="C15" s="25">
        <f>BS!C29</f>
        <v>5863</v>
      </c>
      <c r="D15" s="25">
        <f>BS!D29</f>
        <v>7208.5</v>
      </c>
      <c r="E15" s="25">
        <f>BS!E29</f>
        <v>8477.75</v>
      </c>
      <c r="F15" s="25">
        <f>BS!F29</f>
        <v>9327</v>
      </c>
      <c r="G15" s="25">
        <f>BS!G29</f>
        <v>10237</v>
      </c>
      <c r="H15" s="40">
        <f>H9*H12/365</f>
        <v>11396.295845157169</v>
      </c>
      <c r="I15" s="37">
        <f>I9*I12/365</f>
        <v>12643.713324962438</v>
      </c>
      <c r="J15" s="37">
        <f>J9*J12/365</f>
        <v>13906.877144946009</v>
      </c>
      <c r="K15" s="37">
        <f>K9*K12/365</f>
        <v>15162.659373957593</v>
      </c>
      <c r="L15" s="37">
        <f>L9*L12/365</f>
        <v>16532.133348416242</v>
      </c>
      <c r="M15" s="11" t="s">
        <v>245</v>
      </c>
    </row>
    <row r="16" spans="2:13" x14ac:dyDescent="0.2">
      <c r="B16" s="4" t="s">
        <v>235</v>
      </c>
      <c r="C16" s="22">
        <f>C13+C14-C15</f>
        <v>2805</v>
      </c>
      <c r="D16" s="22">
        <f t="shared" ref="D16:G16" si="0">D13+D14-D15</f>
        <v>3270.5</v>
      </c>
      <c r="E16" s="22">
        <f t="shared" si="0"/>
        <v>4130.25</v>
      </c>
      <c r="F16" s="22">
        <f t="shared" si="0"/>
        <v>6126</v>
      </c>
      <c r="G16" s="22">
        <f t="shared" si="0"/>
        <v>5486</v>
      </c>
      <c r="H16" s="40">
        <f t="shared" ref="H16" si="1">H13+H14-H15</f>
        <v>5969.4882998442299</v>
      </c>
      <c r="I16" s="37">
        <f t="shared" ref="I16" si="2">I13+I14-I15</f>
        <v>6321.8566624812192</v>
      </c>
      <c r="J16" s="37">
        <f t="shared" ref="J16" si="3">J13+J14-J15</f>
        <v>6622.3224499742919</v>
      </c>
      <c r="K16" s="37">
        <f t="shared" ref="K16" si="4">K13+K14-K15</f>
        <v>7220.3139875988545</v>
      </c>
      <c r="L16" s="37">
        <f t="shared" ref="L16" si="5">L13+L14-L15</f>
        <v>7872.4444516267868</v>
      </c>
      <c r="M16" s="11" t="s">
        <v>449</v>
      </c>
    </row>
    <row r="17" spans="2:13" x14ac:dyDescent="0.2">
      <c r="B17" s="1" t="s">
        <v>52</v>
      </c>
      <c r="C17" s="33">
        <f>C13/C12*365</f>
        <v>21.317515542120567</v>
      </c>
      <c r="D17" s="33">
        <f t="shared" ref="D17:L17" si="6">D13/D12*365</f>
        <v>22.319022770398487</v>
      </c>
      <c r="E17" s="33">
        <f t="shared" si="6"/>
        <v>22.020759000973079</v>
      </c>
      <c r="F17" s="33">
        <f t="shared" si="6"/>
        <v>28.304259100783355</v>
      </c>
      <c r="G17" s="33">
        <f t="shared" si="6"/>
        <v>24.862128131781251</v>
      </c>
      <c r="H17" s="56">
        <f t="shared" si="6"/>
        <v>24.000000000000004</v>
      </c>
      <c r="I17" s="30">
        <f t="shared" si="6"/>
        <v>23</v>
      </c>
      <c r="J17" s="30">
        <f t="shared" si="6"/>
        <v>22</v>
      </c>
      <c r="K17" s="30">
        <f t="shared" si="6"/>
        <v>22</v>
      </c>
      <c r="L17" s="30">
        <f t="shared" si="6"/>
        <v>22</v>
      </c>
      <c r="M17" s="11" t="s">
        <v>246</v>
      </c>
    </row>
    <row r="18" spans="2:13" x14ac:dyDescent="0.2">
      <c r="B18" s="1" t="s">
        <v>51</v>
      </c>
      <c r="C18" s="33">
        <f>C14/C12*365</f>
        <v>38.832297191961814</v>
      </c>
      <c r="D18" s="33">
        <f t="shared" ref="D18:L18" si="7">D14/D12*365</f>
        <v>38.162239089184069</v>
      </c>
      <c r="E18" s="33">
        <f t="shared" si="7"/>
        <v>42.878195997687179</v>
      </c>
      <c r="F18" s="33">
        <f t="shared" si="7"/>
        <v>45.954775854124144</v>
      </c>
      <c r="G18" s="33">
        <f t="shared" si="7"/>
        <v>39.975695821775986</v>
      </c>
      <c r="H18" s="56">
        <f t="shared" si="7"/>
        <v>40</v>
      </c>
      <c r="I18" s="30">
        <f t="shared" si="7"/>
        <v>40</v>
      </c>
      <c r="J18" s="30">
        <f t="shared" si="7"/>
        <v>40</v>
      </c>
      <c r="K18" s="30">
        <f t="shared" si="7"/>
        <v>40</v>
      </c>
      <c r="L18" s="30">
        <f t="shared" si="7"/>
        <v>40</v>
      </c>
      <c r="M18" s="11" t="s">
        <v>247</v>
      </c>
    </row>
    <row r="19" spans="2:13" x14ac:dyDescent="0.2">
      <c r="B19" s="1" t="s">
        <v>53</v>
      </c>
      <c r="C19" s="33">
        <f>C15/C12*365</f>
        <v>40.685089070134403</v>
      </c>
      <c r="D19" s="33">
        <f t="shared" ref="D19:L19" si="8">D15/D12*365</f>
        <v>41.605036369386475</v>
      </c>
      <c r="E19" s="33">
        <f t="shared" si="8"/>
        <v>43.638730626577726</v>
      </c>
      <c r="F19" s="33">
        <f t="shared" si="8"/>
        <v>44.820683299321963</v>
      </c>
      <c r="G19" s="33">
        <f t="shared" si="8"/>
        <v>42.214895618683805</v>
      </c>
      <c r="H19" s="56">
        <f t="shared" si="8"/>
        <v>42.000000000000007</v>
      </c>
      <c r="I19" s="30">
        <f t="shared" si="8"/>
        <v>42</v>
      </c>
      <c r="J19" s="30">
        <f t="shared" si="8"/>
        <v>41.999999999999993</v>
      </c>
      <c r="K19" s="30">
        <f t="shared" si="8"/>
        <v>42.000000000000007</v>
      </c>
      <c r="L19" s="30">
        <f t="shared" si="8"/>
        <v>42</v>
      </c>
      <c r="M19" s="11" t="s">
        <v>248</v>
      </c>
    </row>
    <row r="20" spans="2:13" x14ac:dyDescent="0.2">
      <c r="B20" s="1" t="s">
        <v>236</v>
      </c>
      <c r="C20" s="33">
        <f>C17+C18-C19</f>
        <v>19.464723663947979</v>
      </c>
      <c r="D20" s="33">
        <f t="shared" ref="D20:L20" si="9">D17+D18-D19</f>
        <v>18.876225490196084</v>
      </c>
      <c r="E20" s="33">
        <f t="shared" si="9"/>
        <v>21.260224372082533</v>
      </c>
      <c r="F20" s="33">
        <f t="shared" si="9"/>
        <v>29.438351655585528</v>
      </c>
      <c r="G20" s="33">
        <f t="shared" si="9"/>
        <v>22.622928334873428</v>
      </c>
      <c r="H20" s="56">
        <f t="shared" si="9"/>
        <v>21.999999999999993</v>
      </c>
      <c r="I20" s="30">
        <f t="shared" si="9"/>
        <v>21</v>
      </c>
      <c r="J20" s="30">
        <f t="shared" si="9"/>
        <v>20.000000000000007</v>
      </c>
      <c r="K20" s="30">
        <f t="shared" si="9"/>
        <v>19.999999999999993</v>
      </c>
      <c r="L20" s="30">
        <f t="shared" si="9"/>
        <v>20</v>
      </c>
      <c r="M20" s="11" t="s">
        <v>450</v>
      </c>
    </row>
    <row r="21" spans="2:13" x14ac:dyDescent="0.2">
      <c r="B21" s="1" t="s">
        <v>237</v>
      </c>
      <c r="C21" s="25"/>
      <c r="D21" s="22">
        <f>C16-D16</f>
        <v>-465.5</v>
      </c>
      <c r="E21" s="22">
        <f t="shared" ref="E21:L21" si="10">D16-E16</f>
        <v>-859.75</v>
      </c>
      <c r="F21" s="22">
        <f t="shared" si="10"/>
        <v>-1995.75</v>
      </c>
      <c r="G21" s="22">
        <f t="shared" si="10"/>
        <v>640</v>
      </c>
      <c r="H21" s="40">
        <f t="shared" si="10"/>
        <v>-483.48829984422991</v>
      </c>
      <c r="I21" s="37">
        <f t="shared" si="10"/>
        <v>-352.36836263698933</v>
      </c>
      <c r="J21" s="37">
        <f t="shared" si="10"/>
        <v>-300.46578749307264</v>
      </c>
      <c r="K21" s="37">
        <f t="shared" si="10"/>
        <v>-597.99153762456262</v>
      </c>
      <c r="L21" s="37">
        <f t="shared" si="10"/>
        <v>-652.13046402793225</v>
      </c>
      <c r="M21" s="11" t="s">
        <v>451</v>
      </c>
    </row>
    <row r="22" spans="2:13" x14ac:dyDescent="0.2">
      <c r="M22" s="11"/>
    </row>
    <row r="23" spans="2:13" x14ac:dyDescent="0.2">
      <c r="B23" s="94" t="s">
        <v>140</v>
      </c>
      <c r="C23" s="94"/>
      <c r="D23" s="94"/>
      <c r="E23" s="94"/>
      <c r="F23" s="94"/>
      <c r="G23" s="94"/>
      <c r="H23" s="94"/>
      <c r="I23" s="98"/>
      <c r="J23" s="98"/>
      <c r="K23" s="98"/>
      <c r="L23" s="98"/>
      <c r="M23" s="11"/>
    </row>
    <row r="24" spans="2:13" x14ac:dyDescent="0.2">
      <c r="B24" s="1" t="s">
        <v>238</v>
      </c>
      <c r="C24" s="22"/>
      <c r="D24" s="22"/>
      <c r="E24" s="22"/>
      <c r="F24" s="22"/>
      <c r="G24" s="22"/>
      <c r="H24" s="38">
        <f>ROUND(H17-H7,0)</f>
        <v>0</v>
      </c>
      <c r="I24" s="39">
        <f>ROUND(I17-I7,0)</f>
        <v>0</v>
      </c>
      <c r="J24" s="39">
        <f>ROUND(J17-J7,0)</f>
        <v>0</v>
      </c>
      <c r="K24" s="39">
        <f>ROUND(K17-K7,0)</f>
        <v>0</v>
      </c>
      <c r="L24" s="39">
        <f>ROUND(L17-L7,0)</f>
        <v>0</v>
      </c>
      <c r="M24" s="11" t="s">
        <v>452</v>
      </c>
    </row>
    <row r="25" spans="2:13" ht="15" x14ac:dyDescent="0.25">
      <c r="B25" s="1" t="s">
        <v>427</v>
      </c>
      <c r="H25" s="90">
        <f xml:space="preserve"> ROUND(H18-H8,0)</f>
        <v>0</v>
      </c>
      <c r="I25" s="89">
        <f t="shared" ref="I25:L25" si="11" xml:space="preserve"> ROUND(I18-I8,0)</f>
        <v>0</v>
      </c>
      <c r="J25" s="89">
        <f t="shared" si="11"/>
        <v>0</v>
      </c>
      <c r="K25" s="89">
        <f t="shared" si="11"/>
        <v>0</v>
      </c>
      <c r="L25" s="89">
        <f t="shared" si="11"/>
        <v>0</v>
      </c>
      <c r="M25" s="11"/>
    </row>
    <row r="26" spans="2:13" ht="15" x14ac:dyDescent="0.25">
      <c r="B26" s="1" t="s">
        <v>428</v>
      </c>
      <c r="H26" s="90">
        <f xml:space="preserve"> ROUND(H19-H9,0)</f>
        <v>0</v>
      </c>
      <c r="I26" s="89">
        <f t="shared" ref="I26:L26" si="12" xml:space="preserve"> ROUND(I19-I9,0)</f>
        <v>0</v>
      </c>
      <c r="J26" s="89">
        <f t="shared" si="12"/>
        <v>0</v>
      </c>
      <c r="K26" s="89">
        <f t="shared" si="12"/>
        <v>0</v>
      </c>
      <c r="L26" s="89">
        <f t="shared" si="12"/>
        <v>0</v>
      </c>
      <c r="M26" s="11"/>
    </row>
    <row r="32" spans="2:13" ht="15" x14ac:dyDescent="0.25">
      <c r="B32"/>
    </row>
  </sheetData>
  <mergeCells count="4">
    <mergeCell ref="B6:L6"/>
    <mergeCell ref="B11:L11"/>
    <mergeCell ref="B23:L23"/>
    <mergeCell ref="B2:L2"/>
  </mergeCells>
  <conditionalFormatting sqref="C3">
    <cfRule type="containsText" dxfId="6" priority="1" operator="containsText" text="OK">
      <formula>NOT(ISERROR(SEARCH("OK",C3)))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98E1-C34D-4176-AEF1-96CDDDE6A53F}">
  <sheetPr>
    <tabColor theme="6" tint="0.39997558519241921"/>
  </sheetPr>
  <dimension ref="B2:M32"/>
  <sheetViews>
    <sheetView zoomScale="87" zoomScaleNormal="87" workbookViewId="0"/>
  </sheetViews>
  <sheetFormatPr defaultRowHeight="12.75" x14ac:dyDescent="0.2"/>
  <cols>
    <col min="1" max="1" width="2.7109375" style="1" customWidth="1"/>
    <col min="2" max="2" width="29.85546875" style="1" bestFit="1" customWidth="1"/>
    <col min="3" max="12" width="14.42578125" style="2" customWidth="1"/>
    <col min="13" max="13" width="139.85546875" style="1" bestFit="1" customWidth="1"/>
    <col min="14" max="16384" width="9.140625" style="1"/>
  </cols>
  <sheetData>
    <row r="2" spans="2:13" ht="18" x14ac:dyDescent="0.25">
      <c r="B2" s="95" t="s">
        <v>249</v>
      </c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2:13" x14ac:dyDescent="0.2">
      <c r="B3" s="1" t="s">
        <v>359</v>
      </c>
      <c r="C3" s="1" t="str">
        <f>Check!E4</f>
        <v>MODEL OK</v>
      </c>
    </row>
    <row r="5" spans="2:13" x14ac:dyDescent="0.2">
      <c r="C5" s="2" t="s">
        <v>100</v>
      </c>
      <c r="D5" s="2" t="s">
        <v>101</v>
      </c>
      <c r="E5" s="2" t="s">
        <v>102</v>
      </c>
      <c r="F5" s="2" t="s">
        <v>103</v>
      </c>
      <c r="G5" s="2" t="s">
        <v>104</v>
      </c>
      <c r="H5" s="2" t="s">
        <v>105</v>
      </c>
      <c r="I5" s="2" t="s">
        <v>106</v>
      </c>
      <c r="J5" s="2" t="s">
        <v>107</v>
      </c>
      <c r="K5" s="2" t="s">
        <v>108</v>
      </c>
      <c r="L5" s="2" t="s">
        <v>109</v>
      </c>
      <c r="M5" s="1" t="s">
        <v>142</v>
      </c>
    </row>
    <row r="6" spans="2:13" x14ac:dyDescent="0.2">
      <c r="B6" s="94" t="s">
        <v>201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11"/>
    </row>
    <row r="7" spans="2:13" x14ac:dyDescent="0.2">
      <c r="B7" s="1" t="s">
        <v>258</v>
      </c>
      <c r="C7" s="15"/>
      <c r="D7" s="15"/>
      <c r="E7" s="15"/>
      <c r="F7" s="15"/>
      <c r="G7" s="15"/>
      <c r="H7" s="20">
        <v>0</v>
      </c>
      <c r="I7" s="18">
        <v>0</v>
      </c>
      <c r="J7" s="18">
        <v>0</v>
      </c>
      <c r="K7" s="18">
        <v>0</v>
      </c>
      <c r="L7" s="18">
        <v>0</v>
      </c>
      <c r="M7" s="11" t="s">
        <v>261</v>
      </c>
    </row>
    <row r="8" spans="2:13" x14ac:dyDescent="0.2">
      <c r="B8" s="1" t="s">
        <v>259</v>
      </c>
      <c r="C8" s="15"/>
      <c r="D8" s="15"/>
      <c r="E8" s="15"/>
      <c r="F8" s="15"/>
      <c r="G8" s="15"/>
      <c r="H8" s="55">
        <v>0</v>
      </c>
      <c r="I8" s="18">
        <v>2000</v>
      </c>
      <c r="J8" s="18">
        <v>3000</v>
      </c>
      <c r="K8" s="18">
        <v>4000</v>
      </c>
      <c r="L8" s="18">
        <v>4000</v>
      </c>
      <c r="M8" s="11" t="s">
        <v>262</v>
      </c>
    </row>
    <row r="9" spans="2:13" x14ac:dyDescent="0.2">
      <c r="B9" s="1" t="s">
        <v>260</v>
      </c>
      <c r="C9" s="15"/>
      <c r="D9" s="15"/>
      <c r="E9" s="15"/>
      <c r="F9" s="15"/>
      <c r="G9" s="15"/>
      <c r="H9" s="43">
        <v>0.08</v>
      </c>
      <c r="I9" s="45">
        <v>0.08</v>
      </c>
      <c r="J9" s="45">
        <v>0.08</v>
      </c>
      <c r="K9" s="45">
        <v>0.08</v>
      </c>
      <c r="L9" s="45">
        <v>0.08</v>
      </c>
      <c r="M9" s="11" t="s">
        <v>263</v>
      </c>
    </row>
    <row r="10" spans="2:13" ht="15" x14ac:dyDescent="0.25">
      <c r="B10"/>
      <c r="C10" s="3"/>
      <c r="D10" s="5"/>
      <c r="E10" s="5"/>
      <c r="F10" s="5"/>
      <c r="G10" s="5"/>
      <c r="H10" s="3"/>
      <c r="I10" s="3"/>
      <c r="J10" s="3"/>
      <c r="K10" s="3"/>
      <c r="L10" s="3"/>
      <c r="M10" s="11"/>
    </row>
    <row r="11" spans="2:13" x14ac:dyDescent="0.2">
      <c r="B11" s="94" t="s">
        <v>249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11"/>
    </row>
    <row r="12" spans="2:13" x14ac:dyDescent="0.2">
      <c r="B12" s="1" t="s">
        <v>250</v>
      </c>
      <c r="C12" s="25">
        <f>BS!C26</f>
        <v>5302.51</v>
      </c>
      <c r="D12" s="25">
        <f>BS!D26</f>
        <v>5356.45</v>
      </c>
      <c r="E12" s="25">
        <f>BS!E26</f>
        <v>5307.75</v>
      </c>
      <c r="F12" s="25">
        <f>BS!F26</f>
        <v>15781</v>
      </c>
      <c r="G12" s="25">
        <f>BS!G26</f>
        <v>15019</v>
      </c>
      <c r="H12" s="38">
        <f>G12+H7-H8</f>
        <v>15019</v>
      </c>
      <c r="I12" s="37">
        <f>H12+I7-I8</f>
        <v>13019</v>
      </c>
      <c r="J12" s="37">
        <f t="shared" ref="J12:L12" si="0">I12+J7-J8</f>
        <v>10019</v>
      </c>
      <c r="K12" s="37">
        <f t="shared" si="0"/>
        <v>6019</v>
      </c>
      <c r="L12" s="37">
        <f t="shared" si="0"/>
        <v>2019</v>
      </c>
      <c r="M12" s="11" t="s">
        <v>453</v>
      </c>
    </row>
    <row r="13" spans="2:13" x14ac:dyDescent="0.2">
      <c r="B13" s="1" t="s">
        <v>251</v>
      </c>
      <c r="C13" s="25">
        <f>BS!C27</f>
        <v>4900</v>
      </c>
      <c r="D13" s="25">
        <f>BS!D27</f>
        <v>4544.45</v>
      </c>
      <c r="E13" s="25">
        <f>BS!E27</f>
        <v>4990.55</v>
      </c>
      <c r="F13" s="25">
        <f>BS!F27</f>
        <v>7250</v>
      </c>
      <c r="G13" s="25">
        <f>BS!G27</f>
        <v>7762</v>
      </c>
      <c r="H13" s="40">
        <f>G13</f>
        <v>7762</v>
      </c>
      <c r="I13" s="37">
        <f>H13</f>
        <v>7762</v>
      </c>
      <c r="J13" s="37">
        <f t="shared" ref="J13:L13" si="1">I13</f>
        <v>7762</v>
      </c>
      <c r="K13" s="37">
        <f t="shared" si="1"/>
        <v>7762</v>
      </c>
      <c r="L13" s="37">
        <f t="shared" si="1"/>
        <v>7762</v>
      </c>
      <c r="M13" s="11" t="s">
        <v>264</v>
      </c>
    </row>
    <row r="14" spans="2:13" x14ac:dyDescent="0.2">
      <c r="B14" s="1" t="s">
        <v>252</v>
      </c>
      <c r="C14" s="22">
        <f>C12+C13</f>
        <v>10202.51</v>
      </c>
      <c r="D14" s="22">
        <f t="shared" ref="D14:L14" si="2">D12+D13</f>
        <v>9900.9</v>
      </c>
      <c r="E14" s="22">
        <f t="shared" si="2"/>
        <v>10298.299999999999</v>
      </c>
      <c r="F14" s="22">
        <f t="shared" si="2"/>
        <v>23031</v>
      </c>
      <c r="G14" s="22">
        <f t="shared" si="2"/>
        <v>22781</v>
      </c>
      <c r="H14" s="40">
        <f t="shared" si="2"/>
        <v>22781</v>
      </c>
      <c r="I14" s="37">
        <f t="shared" si="2"/>
        <v>20781</v>
      </c>
      <c r="J14" s="37">
        <f t="shared" si="2"/>
        <v>17781</v>
      </c>
      <c r="K14" s="37">
        <f t="shared" si="2"/>
        <v>13781</v>
      </c>
      <c r="L14" s="37">
        <f t="shared" si="2"/>
        <v>9781</v>
      </c>
      <c r="M14" s="11" t="s">
        <v>265</v>
      </c>
    </row>
    <row r="15" spans="2:13" x14ac:dyDescent="0.2">
      <c r="B15" s="1" t="s">
        <v>253</v>
      </c>
      <c r="C15" s="25"/>
      <c r="D15" s="22">
        <f>(C14+D14)/2</f>
        <v>10051.705</v>
      </c>
      <c r="E15" s="22">
        <f t="shared" ref="E15:L15" si="3">(D14+E14)/2</f>
        <v>10099.599999999999</v>
      </c>
      <c r="F15" s="22">
        <f t="shared" si="3"/>
        <v>16664.650000000001</v>
      </c>
      <c r="G15" s="22">
        <f t="shared" si="3"/>
        <v>22906</v>
      </c>
      <c r="H15" s="40">
        <f t="shared" si="3"/>
        <v>22781</v>
      </c>
      <c r="I15" s="37">
        <f t="shared" si="3"/>
        <v>21781</v>
      </c>
      <c r="J15" s="37">
        <f t="shared" si="3"/>
        <v>19281</v>
      </c>
      <c r="K15" s="37">
        <f t="shared" si="3"/>
        <v>15781</v>
      </c>
      <c r="L15" s="37">
        <f t="shared" si="3"/>
        <v>11781</v>
      </c>
      <c r="M15" s="11" t="s">
        <v>266</v>
      </c>
    </row>
    <row r="16" spans="2:13" x14ac:dyDescent="0.2">
      <c r="C16" s="25"/>
      <c r="D16" s="22"/>
      <c r="E16" s="22"/>
      <c r="F16" s="22"/>
      <c r="G16" s="22"/>
      <c r="H16" s="22"/>
      <c r="I16" s="22"/>
      <c r="J16" s="22"/>
      <c r="K16" s="22"/>
      <c r="L16" s="22"/>
      <c r="M16" s="11"/>
    </row>
    <row r="17" spans="2:13" x14ac:dyDescent="0.2">
      <c r="B17" s="94" t="s">
        <v>257</v>
      </c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11"/>
    </row>
    <row r="18" spans="2:13" x14ac:dyDescent="0.2">
      <c r="B18" s="1" t="s">
        <v>254</v>
      </c>
      <c r="C18" s="25">
        <f>IS!C26</f>
        <v>945</v>
      </c>
      <c r="D18" s="25">
        <f>IS!D26</f>
        <v>823</v>
      </c>
      <c r="E18" s="25">
        <f>IS!E26</f>
        <v>968</v>
      </c>
      <c r="F18" s="25">
        <f>IS!F26</f>
        <v>1651</v>
      </c>
      <c r="G18" s="25">
        <f>IS!G26</f>
        <v>1872</v>
      </c>
      <c r="H18" s="38">
        <f>H9*H15</f>
        <v>1822.48</v>
      </c>
      <c r="I18" s="37">
        <f>I9*I15</f>
        <v>1742.48</v>
      </c>
      <c r="J18" s="37">
        <f t="shared" ref="J18:L18" si="4">J9*J15</f>
        <v>1542.48</v>
      </c>
      <c r="K18" s="37">
        <f t="shared" si="4"/>
        <v>1262.48</v>
      </c>
      <c r="L18" s="37">
        <f t="shared" si="4"/>
        <v>942.48</v>
      </c>
      <c r="M18" s="11" t="s">
        <v>267</v>
      </c>
    </row>
    <row r="19" spans="2:13" x14ac:dyDescent="0.2">
      <c r="B19" s="1" t="s">
        <v>255</v>
      </c>
      <c r="C19" s="25"/>
      <c r="D19" s="52">
        <f>D18/D15</f>
        <v>8.1876656746293297E-2</v>
      </c>
      <c r="E19" s="52">
        <f t="shared" ref="E19:L19" si="5">E18/E15</f>
        <v>9.5845380015050122E-2</v>
      </c>
      <c r="F19" s="52">
        <f t="shared" si="5"/>
        <v>9.9071987710512968E-2</v>
      </c>
      <c r="G19" s="52">
        <f t="shared" si="5"/>
        <v>8.1725312145289442E-2</v>
      </c>
      <c r="H19" s="44">
        <f t="shared" si="5"/>
        <v>0.08</v>
      </c>
      <c r="I19" s="42">
        <f t="shared" si="5"/>
        <v>0.08</v>
      </c>
      <c r="J19" s="42">
        <f t="shared" si="5"/>
        <v>0.08</v>
      </c>
      <c r="K19" s="42">
        <f t="shared" si="5"/>
        <v>0.08</v>
      </c>
      <c r="L19" s="42">
        <f t="shared" si="5"/>
        <v>0.08</v>
      </c>
      <c r="M19" s="11" t="s">
        <v>268</v>
      </c>
    </row>
    <row r="20" spans="2:13" x14ac:dyDescent="0.2">
      <c r="B20" s="1" t="s">
        <v>171</v>
      </c>
      <c r="C20" s="25">
        <f>Ops_Forecast!C43</f>
        <v>11515.000000000015</v>
      </c>
      <c r="D20" s="25">
        <f>Ops_Forecast!D43</f>
        <v>10619.999999999985</v>
      </c>
      <c r="E20" s="25">
        <f>Ops_Forecast!E43</f>
        <v>12969</v>
      </c>
      <c r="F20" s="25">
        <f>Ops_Forecast!F43</f>
        <v>12557.000000000015</v>
      </c>
      <c r="G20" s="25">
        <f>Ops_Forecast!G43</f>
        <v>17021.53</v>
      </c>
      <c r="H20" s="60">
        <f>Ops_Forecast!H43</f>
        <v>18087.784382674203</v>
      </c>
      <c r="I20" s="59">
        <f>Ops_Forecast!I43</f>
        <v>20133.909899160499</v>
      </c>
      <c r="J20" s="59">
        <f>Ops_Forecast!J43</f>
        <v>21609.366344806578</v>
      </c>
      <c r="K20" s="59">
        <f>Ops_Forecast!K43</f>
        <v>22897.07887992695</v>
      </c>
      <c r="L20" s="59">
        <f>Ops_Forecast!L43</f>
        <v>24210.047730996637</v>
      </c>
      <c r="M20" s="11" t="s">
        <v>269</v>
      </c>
    </row>
    <row r="21" spans="2:13" x14ac:dyDescent="0.2">
      <c r="B21" s="1" t="s">
        <v>256</v>
      </c>
      <c r="C21" s="14">
        <f>C20/C18</f>
        <v>12.185185185185201</v>
      </c>
      <c r="D21" s="14">
        <f t="shared" ref="D21:L21" si="6">D20/D18</f>
        <v>12.904009720534612</v>
      </c>
      <c r="E21" s="14">
        <f t="shared" si="6"/>
        <v>13.397727272727273</v>
      </c>
      <c r="F21" s="14">
        <f t="shared" si="6"/>
        <v>7.6056935190793551</v>
      </c>
      <c r="G21" s="14">
        <f t="shared" si="6"/>
        <v>9.0926976495726493</v>
      </c>
      <c r="H21" s="63">
        <f t="shared" si="6"/>
        <v>9.9248191380285125</v>
      </c>
      <c r="I21" s="64">
        <f t="shared" si="6"/>
        <v>11.554743755544109</v>
      </c>
      <c r="J21" s="64">
        <f t="shared" si="6"/>
        <v>14.009495322342318</v>
      </c>
      <c r="K21" s="64">
        <f t="shared" si="6"/>
        <v>18.13658741518832</v>
      </c>
      <c r="L21" s="64">
        <f t="shared" si="6"/>
        <v>25.687598390413203</v>
      </c>
      <c r="M21" s="11" t="s">
        <v>270</v>
      </c>
    </row>
    <row r="22" spans="2:13" x14ac:dyDescent="0.2">
      <c r="M22" s="11"/>
    </row>
    <row r="23" spans="2:13" x14ac:dyDescent="0.2">
      <c r="B23" s="94" t="s">
        <v>140</v>
      </c>
      <c r="C23" s="94"/>
      <c r="D23" s="94"/>
      <c r="E23" s="94"/>
      <c r="F23" s="94"/>
      <c r="G23" s="94"/>
      <c r="H23" s="94"/>
      <c r="I23" s="98"/>
      <c r="J23" s="98"/>
      <c r="K23" s="98"/>
      <c r="L23" s="98"/>
      <c r="M23" s="11"/>
    </row>
    <row r="24" spans="2:13" x14ac:dyDescent="0.2">
      <c r="B24" s="1" t="s">
        <v>272</v>
      </c>
      <c r="C24" s="22"/>
      <c r="D24" s="22"/>
      <c r="E24" s="22"/>
      <c r="F24" s="22"/>
      <c r="G24" s="22"/>
      <c r="H24" s="38">
        <f>ROUND(H19-H9,4)</f>
        <v>0</v>
      </c>
      <c r="I24" s="39">
        <f>ROUND(I19-I9,4)</f>
        <v>0</v>
      </c>
      <c r="J24" s="39">
        <f t="shared" ref="J24:L24" si="7">ROUND(J19-J9,4)</f>
        <v>0</v>
      </c>
      <c r="K24" s="39">
        <f t="shared" si="7"/>
        <v>0</v>
      </c>
      <c r="L24" s="39">
        <f t="shared" si="7"/>
        <v>0</v>
      </c>
      <c r="M24" s="11" t="s">
        <v>454</v>
      </c>
    </row>
    <row r="25" spans="2:13" x14ac:dyDescent="0.2">
      <c r="B25" s="1" t="s">
        <v>273</v>
      </c>
      <c r="H25" s="40" t="str">
        <f>IF(H12&lt;0,"ERROR","OK")</f>
        <v>OK</v>
      </c>
      <c r="I25" s="37" t="str">
        <f t="shared" ref="I25:L25" si="8">IF(I12&lt;0,"ERROR","OK")</f>
        <v>OK</v>
      </c>
      <c r="J25" s="37" t="str">
        <f t="shared" si="8"/>
        <v>OK</v>
      </c>
      <c r="K25" s="37" t="str">
        <f t="shared" si="8"/>
        <v>OK</v>
      </c>
      <c r="L25" s="37" t="str">
        <f t="shared" si="8"/>
        <v>OK</v>
      </c>
      <c r="M25" s="11" t="s">
        <v>271</v>
      </c>
    </row>
    <row r="26" spans="2:13" x14ac:dyDescent="0.2">
      <c r="M26" s="11"/>
    </row>
    <row r="28" spans="2:13" ht="15" x14ac:dyDescent="0.25">
      <c r="B28"/>
    </row>
    <row r="32" spans="2:13" ht="15" x14ac:dyDescent="0.25">
      <c r="B32"/>
    </row>
  </sheetData>
  <mergeCells count="5">
    <mergeCell ref="B6:L6"/>
    <mergeCell ref="B11:L11"/>
    <mergeCell ref="B23:L23"/>
    <mergeCell ref="B17:L17"/>
    <mergeCell ref="B2:L2"/>
  </mergeCells>
  <conditionalFormatting sqref="C3">
    <cfRule type="containsText" dxfId="5" priority="1" operator="containsText" text="OK">
      <formula>NOT(ISERROR(SEARCH("OK",C3)))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7FF3-B225-45EC-B6CE-2AC135090809}">
  <sheetPr>
    <tabColor theme="8" tint="0.39997558519241921"/>
  </sheetPr>
  <dimension ref="B2:M21"/>
  <sheetViews>
    <sheetView zoomScale="87" zoomScaleNormal="87" workbookViewId="0"/>
  </sheetViews>
  <sheetFormatPr defaultRowHeight="12.75" x14ac:dyDescent="0.2"/>
  <cols>
    <col min="1" max="1" width="2.7109375" style="1" customWidth="1"/>
    <col min="2" max="2" width="29.85546875" style="1" bestFit="1" customWidth="1"/>
    <col min="3" max="12" width="14.42578125" style="2" customWidth="1"/>
    <col min="13" max="13" width="139.85546875" style="1" bestFit="1" customWidth="1"/>
    <col min="14" max="16384" width="9.140625" style="1"/>
  </cols>
  <sheetData>
    <row r="2" spans="2:13" ht="18" x14ac:dyDescent="0.25">
      <c r="B2" s="95" t="s">
        <v>352</v>
      </c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2:13" x14ac:dyDescent="0.2">
      <c r="B3" s="1" t="s">
        <v>359</v>
      </c>
      <c r="C3" s="1" t="str">
        <f>Check!E4</f>
        <v>MODEL OK</v>
      </c>
    </row>
    <row r="5" spans="2:13" x14ac:dyDescent="0.2">
      <c r="C5" s="2" t="s">
        <v>100</v>
      </c>
      <c r="D5" s="2" t="s">
        <v>101</v>
      </c>
      <c r="E5" s="2" t="s">
        <v>102</v>
      </c>
      <c r="F5" s="2" t="s">
        <v>103</v>
      </c>
      <c r="G5" s="2" t="s">
        <v>104</v>
      </c>
      <c r="H5" s="2" t="s">
        <v>105</v>
      </c>
      <c r="I5" s="2" t="s">
        <v>106</v>
      </c>
      <c r="J5" s="2" t="s">
        <v>107</v>
      </c>
      <c r="K5" s="2" t="s">
        <v>108</v>
      </c>
      <c r="L5" s="2" t="s">
        <v>109</v>
      </c>
      <c r="M5" s="1" t="s">
        <v>142</v>
      </c>
    </row>
    <row r="6" spans="2:13" x14ac:dyDescent="0.2">
      <c r="B6" s="94" t="s">
        <v>201</v>
      </c>
      <c r="C6" s="94"/>
      <c r="D6" s="94"/>
      <c r="E6" s="94"/>
      <c r="F6" s="94"/>
      <c r="G6" s="94"/>
      <c r="H6" s="98"/>
      <c r="I6" s="98"/>
      <c r="J6" s="98"/>
      <c r="K6" s="98"/>
      <c r="L6" s="98"/>
      <c r="M6" s="11"/>
    </row>
    <row r="7" spans="2:13" x14ac:dyDescent="0.2">
      <c r="B7" s="1" t="s">
        <v>274</v>
      </c>
      <c r="C7" s="61">
        <f>IS!C39</f>
        <v>0.14225941422594143</v>
      </c>
      <c r="D7" s="61">
        <f>IS!D39</f>
        <v>0.3159372332636195</v>
      </c>
      <c r="E7" s="61">
        <f>IS!E39</f>
        <v>0.25666454420036083</v>
      </c>
      <c r="F7" s="61">
        <f>IS!F39</f>
        <v>0.19765510827686994</v>
      </c>
      <c r="G7" s="61">
        <f>IS!G39</f>
        <v>0.25067323784626111</v>
      </c>
      <c r="H7" s="71">
        <v>0.252</v>
      </c>
      <c r="I7" s="72">
        <v>0.252</v>
      </c>
      <c r="J7" s="72">
        <v>0.252</v>
      </c>
      <c r="K7" s="72">
        <v>0.252</v>
      </c>
      <c r="L7" s="72">
        <v>0.252</v>
      </c>
      <c r="M7" s="11" t="s">
        <v>281</v>
      </c>
    </row>
    <row r="8" spans="2:13" x14ac:dyDescent="0.2">
      <c r="B8" s="1" t="s">
        <v>275</v>
      </c>
      <c r="C8" s="15"/>
      <c r="D8" s="52">
        <f>IS!D8/(BS!C14+BS!C15+BS!C10)</f>
        <v>7.5135744747593186E-2</v>
      </c>
      <c r="E8" s="52">
        <f>IS!E8/(BS!D14+BS!D15+BS!D10)</f>
        <v>7.3049737754993321E-2</v>
      </c>
      <c r="F8" s="52">
        <f>IS!F8/(BS!E14+BS!E15+BS!E10)</f>
        <v>8.2371410920411947E-2</v>
      </c>
      <c r="G8" s="52">
        <f>IS!G8/(BS!F14+BS!F15+BS!F10)</f>
        <v>8.4639039390833212E-2</v>
      </c>
      <c r="H8" s="43">
        <v>7.4999999999999997E-2</v>
      </c>
      <c r="I8" s="45">
        <v>7.4999999999999997E-2</v>
      </c>
      <c r="J8" s="45">
        <v>7.4999999999999997E-2</v>
      </c>
      <c r="K8" s="45">
        <v>7.4999999999999997E-2</v>
      </c>
      <c r="L8" s="45">
        <v>7.4999999999999997E-2</v>
      </c>
      <c r="M8" s="11" t="s">
        <v>282</v>
      </c>
    </row>
    <row r="9" spans="2:13" x14ac:dyDescent="0.2">
      <c r="B9" s="1" t="s">
        <v>276</v>
      </c>
      <c r="C9" s="23">
        <f>IS!C27</f>
        <v>0</v>
      </c>
      <c r="D9" s="23">
        <f>IS!D27</f>
        <v>0</v>
      </c>
      <c r="E9" s="23">
        <f>IS!E27</f>
        <v>-72</v>
      </c>
      <c r="F9" s="23">
        <f>IS!F27</f>
        <v>-97</v>
      </c>
      <c r="G9" s="23">
        <f>IS!G27</f>
        <v>-139</v>
      </c>
      <c r="H9" s="55">
        <v>0</v>
      </c>
      <c r="I9" s="18">
        <v>0</v>
      </c>
      <c r="J9" s="18">
        <v>0</v>
      </c>
      <c r="K9" s="18">
        <v>0</v>
      </c>
      <c r="L9" s="18">
        <v>0</v>
      </c>
      <c r="M9" s="11" t="s">
        <v>283</v>
      </c>
    </row>
    <row r="10" spans="2:13" x14ac:dyDescent="0.2">
      <c r="B10" s="1" t="s">
        <v>277</v>
      </c>
      <c r="C10" s="25">
        <f>IS!C28</f>
        <v>2</v>
      </c>
      <c r="D10" s="25">
        <f>IS!D28</f>
        <v>4.03</v>
      </c>
      <c r="E10" s="25">
        <f>IS!E28</f>
        <v>22</v>
      </c>
      <c r="F10" s="25">
        <f>IS!F28</f>
        <v>-11</v>
      </c>
      <c r="G10" s="25">
        <f>IS!G28</f>
        <v>-16</v>
      </c>
      <c r="H10" s="55">
        <v>0</v>
      </c>
      <c r="I10" s="18">
        <v>0</v>
      </c>
      <c r="J10" s="18">
        <v>0</v>
      </c>
      <c r="K10" s="18">
        <v>0</v>
      </c>
      <c r="L10" s="18">
        <v>0</v>
      </c>
      <c r="M10" s="11" t="s">
        <v>284</v>
      </c>
    </row>
    <row r="11" spans="2:13" x14ac:dyDescent="0.2">
      <c r="B11" s="1" t="s">
        <v>278</v>
      </c>
      <c r="C11" s="61">
        <f>IS!C32/IS!C31</f>
        <v>-1.4006968641114984E-3</v>
      </c>
      <c r="D11" s="61">
        <f>IS!D32/IS!D31</f>
        <v>1.8608208506553283E-3</v>
      </c>
      <c r="E11" s="61">
        <f>IS!E32/IS!E31</f>
        <v>-1.4847703959625666E-4</v>
      </c>
      <c r="F11" s="61">
        <f>IS!F32/IS!F31</f>
        <v>8.7759241627685563E-5</v>
      </c>
      <c r="G11" s="61">
        <f>IS!G32/IS!G31</f>
        <v>2.7732188388382524E-3</v>
      </c>
      <c r="H11" s="43">
        <v>3.0000000000000001E-3</v>
      </c>
      <c r="I11" s="45">
        <v>3.0000000000000001E-3</v>
      </c>
      <c r="J11" s="45">
        <v>3.0000000000000001E-3</v>
      </c>
      <c r="K11" s="45">
        <v>3.0000000000000001E-3</v>
      </c>
      <c r="L11" s="45">
        <v>3.0000000000000001E-3</v>
      </c>
      <c r="M11" s="11" t="s">
        <v>285</v>
      </c>
    </row>
    <row r="12" spans="2:13" x14ac:dyDescent="0.2">
      <c r="B12" s="1" t="s">
        <v>279</v>
      </c>
      <c r="C12" s="25">
        <f>-CF!C18</f>
        <v>1065</v>
      </c>
      <c r="D12" s="25">
        <f>-CF!D18</f>
        <v>1091</v>
      </c>
      <c r="E12" s="25">
        <f>-CF!E18</f>
        <v>1094</v>
      </c>
      <c r="F12" s="25">
        <f>-CF!F18</f>
        <v>2012</v>
      </c>
      <c r="G12" s="25">
        <f>-CF!G18</f>
        <v>2273</v>
      </c>
      <c r="H12" s="40">
        <f>H13*IS!G33</f>
        <v>2858.2154999999993</v>
      </c>
      <c r="I12" s="37">
        <f>I13*IS!H33</f>
        <v>3100.3529218807612</v>
      </c>
      <c r="J12" s="37">
        <f>J13*IS!I33</f>
        <v>3596.6494674624341</v>
      </c>
      <c r="K12" s="37">
        <f>K13*IS!J33</f>
        <v>3970.6913369736294</v>
      </c>
      <c r="L12" s="37">
        <f>L13*IS!K33</f>
        <v>4328.1958245006999</v>
      </c>
      <c r="M12" s="11" t="s">
        <v>286</v>
      </c>
    </row>
    <row r="13" spans="2:13" x14ac:dyDescent="0.2">
      <c r="B13" s="1" t="s">
        <v>280</v>
      </c>
      <c r="C13" s="15"/>
      <c r="D13" s="52">
        <f>D12/IS!C33</f>
        <v>0.15184306302670128</v>
      </c>
      <c r="E13" s="52">
        <f>E12/IS!D33</f>
        <v>0.21605224751609037</v>
      </c>
      <c r="F13" s="52">
        <f>F12/IS!E33</f>
        <v>0.28720332196605808</v>
      </c>
      <c r="G13" s="52">
        <f>G12/IS!F33</f>
        <v>0.37640427110381008</v>
      </c>
      <c r="H13" s="43">
        <v>0.35</v>
      </c>
      <c r="I13" s="45">
        <v>0.35</v>
      </c>
      <c r="J13" s="45">
        <v>0.35</v>
      </c>
      <c r="K13" s="45">
        <v>0.35</v>
      </c>
      <c r="L13" s="45">
        <v>0.35</v>
      </c>
      <c r="M13" s="11" t="s">
        <v>287</v>
      </c>
    </row>
    <row r="14" spans="2:13" ht="15" x14ac:dyDescent="0.25">
      <c r="B14"/>
      <c r="C14" s="3"/>
      <c r="D14" s="5"/>
      <c r="E14" s="5"/>
      <c r="F14" s="5"/>
      <c r="G14" s="5"/>
      <c r="H14" s="3"/>
      <c r="I14" s="3"/>
      <c r="J14" s="3"/>
      <c r="K14" s="3"/>
      <c r="L14" s="3"/>
      <c r="M14" s="11"/>
    </row>
    <row r="15" spans="2:13" x14ac:dyDescent="0.2">
      <c r="M15" s="11"/>
    </row>
    <row r="17" spans="2:2" ht="15" x14ac:dyDescent="0.25">
      <c r="B17"/>
    </row>
    <row r="21" spans="2:2" ht="15" x14ac:dyDescent="0.25">
      <c r="B21"/>
    </row>
  </sheetData>
  <mergeCells count="2">
    <mergeCell ref="B6:L6"/>
    <mergeCell ref="B2:L2"/>
  </mergeCells>
  <conditionalFormatting sqref="C3">
    <cfRule type="containsText" dxfId="4" priority="1" operator="containsText" text="OK">
      <formula>NOT(ISERROR(SEARCH("OK",C3)))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58F3-FCA4-4809-9F2C-C16FA5AF86F0}">
  <sheetPr>
    <tabColor theme="7" tint="0.39997558519241921"/>
  </sheetPr>
  <dimension ref="B1:L106"/>
  <sheetViews>
    <sheetView zoomScale="90" zoomScaleNormal="90" workbookViewId="0"/>
  </sheetViews>
  <sheetFormatPr defaultRowHeight="12.75" x14ac:dyDescent="0.2"/>
  <cols>
    <col min="1" max="1" width="2.7109375" style="1" customWidth="1"/>
    <col min="2" max="2" width="45.42578125" style="1" bestFit="1" customWidth="1"/>
    <col min="3" max="3" width="23.42578125" style="2" customWidth="1"/>
    <col min="4" max="4" width="23.7109375" style="2" customWidth="1"/>
    <col min="5" max="5" width="24.42578125" style="2" customWidth="1"/>
    <col min="6" max="6" width="11" style="2" bestFit="1" customWidth="1"/>
    <col min="7" max="7" width="149.85546875" style="2" customWidth="1"/>
    <col min="8" max="16384" width="9.140625" style="1"/>
  </cols>
  <sheetData>
    <row r="1" spans="2:11" x14ac:dyDescent="0.2">
      <c r="G1" s="1"/>
    </row>
    <row r="2" spans="2:11" ht="18" x14ac:dyDescent="0.25">
      <c r="B2" s="95" t="s">
        <v>455</v>
      </c>
      <c r="C2" s="95"/>
      <c r="D2" s="95"/>
      <c r="E2" s="95"/>
      <c r="F2" s="95"/>
      <c r="G2" s="1"/>
    </row>
    <row r="3" spans="2:11" x14ac:dyDescent="0.2">
      <c r="B3" s="1" t="s">
        <v>359</v>
      </c>
      <c r="C3" s="1" t="str">
        <f>Check!E4</f>
        <v>MODEL OK</v>
      </c>
      <c r="G3" s="1"/>
    </row>
    <row r="4" spans="2:11" x14ac:dyDescent="0.2">
      <c r="G4" s="1"/>
    </row>
    <row r="5" spans="2:11" x14ac:dyDescent="0.2">
      <c r="B5" s="100" t="s">
        <v>466</v>
      </c>
      <c r="C5" s="100"/>
      <c r="D5" s="100"/>
      <c r="E5" s="100"/>
      <c r="F5" s="100"/>
      <c r="G5" s="1"/>
    </row>
    <row r="6" spans="2:11" x14ac:dyDescent="0.2">
      <c r="B6" s="1" t="s">
        <v>467</v>
      </c>
      <c r="C6" s="16">
        <v>30.989719999999998</v>
      </c>
      <c r="G6" s="1"/>
    </row>
    <row r="7" spans="2:11" x14ac:dyDescent="0.2">
      <c r="G7" s="1"/>
    </row>
    <row r="8" spans="2:11" x14ac:dyDescent="0.2">
      <c r="B8" s="99" t="s">
        <v>457</v>
      </c>
      <c r="C8" s="99" t="s">
        <v>458</v>
      </c>
      <c r="D8" s="99" t="s">
        <v>459</v>
      </c>
      <c r="E8" s="99" t="s">
        <v>460</v>
      </c>
      <c r="F8" s="99" t="s">
        <v>461</v>
      </c>
      <c r="G8" s="1"/>
    </row>
    <row r="9" spans="2:11" x14ac:dyDescent="0.2">
      <c r="B9" s="1" t="s">
        <v>462</v>
      </c>
      <c r="C9" s="101">
        <v>0.22770000000000001</v>
      </c>
      <c r="D9" s="3">
        <v>268</v>
      </c>
      <c r="E9" s="102">
        <f>C9*$C$6</f>
        <v>7.0563592440000003</v>
      </c>
      <c r="F9" s="22">
        <f>D9*E9</f>
        <v>1891.1042773920001</v>
      </c>
      <c r="G9" s="61"/>
    </row>
    <row r="10" spans="2:11" x14ac:dyDescent="0.2">
      <c r="B10" s="1" t="s">
        <v>463</v>
      </c>
      <c r="C10" s="101">
        <v>0.32719999999999999</v>
      </c>
      <c r="D10" s="3">
        <v>390</v>
      </c>
      <c r="E10" s="102">
        <f t="shared" ref="E10:E11" si="0">C10*$C$6</f>
        <v>10.139836383999999</v>
      </c>
      <c r="F10" s="22">
        <f t="shared" ref="F10:F11" si="1">D10*E10</f>
        <v>3954.5361897599996</v>
      </c>
      <c r="G10" s="52"/>
    </row>
    <row r="11" spans="2:11" x14ac:dyDescent="0.2">
      <c r="B11" s="1" t="s">
        <v>464</v>
      </c>
      <c r="C11" s="101">
        <v>0.26</v>
      </c>
      <c r="D11" s="3">
        <v>390</v>
      </c>
      <c r="E11" s="102">
        <f t="shared" si="0"/>
        <v>8.0573271999999996</v>
      </c>
      <c r="F11" s="22">
        <f t="shared" si="1"/>
        <v>3142.3576079999998</v>
      </c>
      <c r="G11" s="23"/>
    </row>
    <row r="12" spans="2:11" x14ac:dyDescent="0.2">
      <c r="B12" s="103" t="s">
        <v>465</v>
      </c>
      <c r="C12" s="104">
        <f>SUM(C9:C11)</f>
        <v>0.81489999999999996</v>
      </c>
      <c r="D12" s="105"/>
      <c r="E12" s="106">
        <f t="shared" ref="E12:F12" si="2">SUM(E9:E11)</f>
        <v>25.253522827999998</v>
      </c>
      <c r="F12" s="105">
        <f t="shared" si="2"/>
        <v>8987.9980751519997</v>
      </c>
      <c r="G12" s="5"/>
    </row>
    <row r="13" spans="2:11" x14ac:dyDescent="0.2">
      <c r="B13" s="107"/>
      <c r="C13" s="108"/>
      <c r="D13" s="109"/>
      <c r="E13" s="110"/>
      <c r="F13" s="109"/>
      <c r="G13" s="5"/>
    </row>
    <row r="14" spans="2:11" x14ac:dyDescent="0.2">
      <c r="B14" s="1" t="s">
        <v>468</v>
      </c>
      <c r="C14" s="2">
        <f>F12/E12</f>
        <v>355.91066388513929</v>
      </c>
    </row>
    <row r="15" spans="2:11" x14ac:dyDescent="0.2">
      <c r="H15" s="2"/>
      <c r="I15" s="2"/>
    </row>
    <row r="16" spans="2:11" s="2" customFormat="1" x14ac:dyDescent="0.2">
      <c r="B16" s="100" t="s">
        <v>469</v>
      </c>
      <c r="C16" s="100"/>
      <c r="D16" s="100"/>
      <c r="E16" s="100"/>
      <c r="F16" s="100"/>
      <c r="J16" s="1"/>
      <c r="K16" s="1"/>
    </row>
    <row r="17" spans="2:12" x14ac:dyDescent="0.2">
      <c r="B17" s="2"/>
      <c r="C17" s="111" t="s">
        <v>470</v>
      </c>
      <c r="D17" s="111" t="s">
        <v>471</v>
      </c>
      <c r="E17" s="111" t="s">
        <v>481</v>
      </c>
      <c r="G17" s="1" t="s">
        <v>142</v>
      </c>
      <c r="H17" s="2"/>
      <c r="I17" s="2"/>
      <c r="J17" s="2"/>
      <c r="K17" s="2"/>
    </row>
    <row r="18" spans="2:12" x14ac:dyDescent="0.2">
      <c r="B18" s="1" t="s">
        <v>472</v>
      </c>
      <c r="C18" s="16">
        <v>14.45</v>
      </c>
      <c r="D18" s="16">
        <v>10.75</v>
      </c>
      <c r="E18" s="9">
        <f>SUM(C18:D18)</f>
        <v>25.2</v>
      </c>
      <c r="G18" s="11" t="s">
        <v>478</v>
      </c>
      <c r="H18" s="2"/>
      <c r="I18" s="2"/>
      <c r="J18" s="2"/>
      <c r="K18" s="2"/>
    </row>
    <row r="19" spans="2:12" s="2" customFormat="1" x14ac:dyDescent="0.2">
      <c r="B19" s="1" t="s">
        <v>473</v>
      </c>
      <c r="C19" s="2">
        <f>D10</f>
        <v>390</v>
      </c>
      <c r="G19" s="11"/>
    </row>
    <row r="20" spans="2:12" x14ac:dyDescent="0.2">
      <c r="B20" s="1" t="s">
        <v>474</v>
      </c>
      <c r="C20" s="2">
        <f>C19*C6</f>
        <v>12085.9908</v>
      </c>
      <c r="D20" s="3">
        <v>5379</v>
      </c>
      <c r="E20" s="2">
        <f t="shared" ref="E19:E23" si="3">SUM(C20:D20)</f>
        <v>17464.9908</v>
      </c>
      <c r="G20" s="11" t="s">
        <v>479</v>
      </c>
      <c r="H20" s="2"/>
      <c r="I20" s="2"/>
      <c r="J20" s="2"/>
      <c r="K20" s="2"/>
    </row>
    <row r="21" spans="2:12" x14ac:dyDescent="0.2">
      <c r="B21" s="1" t="s">
        <v>475</v>
      </c>
      <c r="C21" s="3">
        <v>1323</v>
      </c>
      <c r="D21" s="3">
        <v>2222</v>
      </c>
      <c r="E21" s="2">
        <f t="shared" si="3"/>
        <v>3545</v>
      </c>
      <c r="G21" s="11" t="s">
        <v>480</v>
      </c>
      <c r="H21" s="2"/>
      <c r="I21" s="2"/>
      <c r="J21" s="2"/>
      <c r="K21" s="2"/>
      <c r="L21" s="2"/>
    </row>
    <row r="22" spans="2:12" x14ac:dyDescent="0.2">
      <c r="B22" s="1" t="s">
        <v>476</v>
      </c>
      <c r="C22" s="2">
        <f>C20+C21</f>
        <v>13408.9908</v>
      </c>
      <c r="D22" s="2">
        <f>D20+D21</f>
        <v>7601</v>
      </c>
      <c r="E22" s="2">
        <f t="shared" si="3"/>
        <v>21009.9908</v>
      </c>
      <c r="G22" s="11"/>
      <c r="H22" s="2"/>
      <c r="I22" s="2"/>
      <c r="J22" s="2"/>
      <c r="K22" s="2"/>
      <c r="L22" s="2"/>
    </row>
    <row r="23" spans="2:12" x14ac:dyDescent="0.2">
      <c r="B23" s="1" t="s">
        <v>477</v>
      </c>
      <c r="C23" s="2">
        <f>C22/C18</f>
        <v>927.95784083044987</v>
      </c>
      <c r="D23" s="2">
        <f>D22/D18</f>
        <v>707.06976744186045</v>
      </c>
      <c r="E23" s="2">
        <f>E22/E18</f>
        <v>833.72979365079368</v>
      </c>
      <c r="G23" s="11"/>
      <c r="H23" s="2"/>
      <c r="I23" s="2"/>
      <c r="J23" s="2"/>
      <c r="K23" s="2"/>
      <c r="L23" s="2"/>
    </row>
    <row r="24" spans="2:12" x14ac:dyDescent="0.2">
      <c r="H24" s="2"/>
      <c r="I24" s="2"/>
      <c r="J24" s="2"/>
      <c r="K24" s="2"/>
      <c r="L24" s="2"/>
    </row>
    <row r="25" spans="2:12" x14ac:dyDescent="0.2">
      <c r="B25" s="100" t="s">
        <v>482</v>
      </c>
      <c r="C25" s="100"/>
      <c r="D25" s="100"/>
      <c r="E25" s="100"/>
      <c r="F25" s="100"/>
      <c r="H25" s="2"/>
      <c r="I25" s="2"/>
      <c r="J25" s="2"/>
      <c r="K25" s="2"/>
      <c r="L25" s="2"/>
    </row>
    <row r="26" spans="2:12" x14ac:dyDescent="0.2">
      <c r="B26" s="1" t="s">
        <v>483</v>
      </c>
      <c r="C26" s="25">
        <f>Capex_DA!H8</f>
        <v>600</v>
      </c>
      <c r="D26" s="25">
        <f>Capex_DA!I8</f>
        <v>600</v>
      </c>
      <c r="E26" s="25">
        <f>Capex_DA!J8</f>
        <v>600</v>
      </c>
      <c r="G26" s="11" t="s">
        <v>487</v>
      </c>
      <c r="H26" s="2"/>
      <c r="I26" s="2"/>
      <c r="J26" s="2"/>
      <c r="K26" s="2"/>
      <c r="L26" s="2"/>
    </row>
    <row r="27" spans="2:12" x14ac:dyDescent="0.2">
      <c r="B27" s="1" t="s">
        <v>484</v>
      </c>
      <c r="C27" s="2">
        <f>C18*C26</f>
        <v>8670</v>
      </c>
      <c r="D27" s="2">
        <f t="shared" ref="D27:E27" si="4">D18*D26</f>
        <v>6450</v>
      </c>
      <c r="E27" s="2">
        <f t="shared" si="4"/>
        <v>15120</v>
      </c>
      <c r="G27" s="11"/>
    </row>
    <row r="28" spans="2:12" x14ac:dyDescent="0.2">
      <c r="B28" s="1" t="s">
        <v>485</v>
      </c>
      <c r="C28" s="2">
        <f>C22-C27</f>
        <v>4738.9907999999996</v>
      </c>
      <c r="D28" s="2">
        <f t="shared" ref="D28:E28" si="5">D22-D27</f>
        <v>1151</v>
      </c>
      <c r="E28" s="2">
        <f t="shared" si="5"/>
        <v>5889.9907999999996</v>
      </c>
      <c r="G28" s="11"/>
    </row>
    <row r="29" spans="2:12" x14ac:dyDescent="0.2">
      <c r="B29" s="1" t="s">
        <v>486</v>
      </c>
      <c r="C29" s="13">
        <f>C23/C26-1</f>
        <v>0.54659640138408316</v>
      </c>
      <c r="D29" s="13">
        <f t="shared" ref="D29:E29" si="6">D23/D26-1</f>
        <v>0.17844961240310075</v>
      </c>
      <c r="E29" s="13">
        <f t="shared" si="6"/>
        <v>0.38954965608465608</v>
      </c>
      <c r="G29" s="11"/>
    </row>
    <row r="30" spans="2:12" x14ac:dyDescent="0.2">
      <c r="G30" s="11"/>
    </row>
    <row r="31" spans="2:12" x14ac:dyDescent="0.2">
      <c r="B31" s="100" t="s">
        <v>488</v>
      </c>
      <c r="C31" s="100"/>
      <c r="D31" s="100"/>
      <c r="E31" s="100"/>
      <c r="F31" s="100"/>
      <c r="G31" s="11"/>
    </row>
    <row r="32" spans="2:12" x14ac:dyDescent="0.2">
      <c r="C32" s="4" t="s">
        <v>491</v>
      </c>
      <c r="D32" s="113">
        <f>C14</f>
        <v>355.91066388513929</v>
      </c>
      <c r="E32" s="113">
        <f>C19</f>
        <v>390</v>
      </c>
      <c r="G32" s="11"/>
    </row>
    <row r="33" spans="2:7" x14ac:dyDescent="0.2">
      <c r="B33" s="1" t="s">
        <v>489</v>
      </c>
      <c r="C33" s="2">
        <f>C21</f>
        <v>1323</v>
      </c>
      <c r="D33" s="2">
        <f>(D$32*$C$6+$C33)/$C$18</f>
        <v>854.84926081761796</v>
      </c>
      <c r="E33" s="2">
        <f>(E$32*$C$6+$C33)/$C$18</f>
        <v>927.95784083044987</v>
      </c>
      <c r="G33" s="11"/>
    </row>
    <row r="34" spans="2:7" ht="15" x14ac:dyDescent="0.25">
      <c r="B34" s="1" t="s">
        <v>490</v>
      </c>
      <c r="C34" s="2">
        <v>2587</v>
      </c>
      <c r="D34" s="2">
        <f>(D$32*$C$6+$C34)/$C$18</f>
        <v>942.32330926052452</v>
      </c>
      <c r="E34" s="2">
        <f>(E$32*$C$6+$C34)/$C$18</f>
        <v>1015.4318892733564</v>
      </c>
      <c r="F34"/>
      <c r="G34" s="11" t="s">
        <v>500</v>
      </c>
    </row>
    <row r="35" spans="2:7" x14ac:dyDescent="0.2">
      <c r="G35" s="11"/>
    </row>
    <row r="36" spans="2:7" x14ac:dyDescent="0.2">
      <c r="B36" s="100" t="s">
        <v>492</v>
      </c>
      <c r="C36" s="100"/>
      <c r="D36" s="100"/>
      <c r="E36" s="100"/>
      <c r="F36" s="100"/>
      <c r="G36" s="11"/>
    </row>
    <row r="37" spans="2:7" x14ac:dyDescent="0.2">
      <c r="C37" s="111" t="s">
        <v>493</v>
      </c>
      <c r="D37" s="111" t="s">
        <v>494</v>
      </c>
      <c r="E37" s="111" t="s">
        <v>495</v>
      </c>
      <c r="F37" s="111" t="s">
        <v>471</v>
      </c>
      <c r="G37" s="11"/>
    </row>
    <row r="38" spans="2:7" ht="15" x14ac:dyDescent="0.25">
      <c r="B38" s="1" t="s">
        <v>496</v>
      </c>
      <c r="D38" s="112">
        <f>C23</f>
        <v>927.95784083044987</v>
      </c>
      <c r="E38" s="2">
        <f>MIN(D33:E34)</f>
        <v>854.84926081761796</v>
      </c>
      <c r="F38" s="2">
        <f>D23</f>
        <v>707.06976744186045</v>
      </c>
      <c r="G38" s="11"/>
    </row>
    <row r="39" spans="2:7" x14ac:dyDescent="0.2">
      <c r="B39" s="1" t="s">
        <v>497</v>
      </c>
      <c r="C39" s="3">
        <v>450</v>
      </c>
      <c r="D39" s="13">
        <f>D$38/$C39-1</f>
        <v>1.0621285351787777</v>
      </c>
      <c r="E39" s="13">
        <f t="shared" ref="E39:F41" si="7">E$38/$C39-1</f>
        <v>0.89966502403915105</v>
      </c>
      <c r="F39" s="13">
        <f t="shared" si="7"/>
        <v>0.57126614987080093</v>
      </c>
      <c r="G39" s="11" t="s">
        <v>501</v>
      </c>
    </row>
    <row r="40" spans="2:7" x14ac:dyDescent="0.2">
      <c r="B40" s="1" t="s">
        <v>498</v>
      </c>
      <c r="C40" s="25">
        <f>Capex_DA!H8</f>
        <v>600</v>
      </c>
      <c r="D40" s="13">
        <f t="shared" ref="D40:D41" si="8">D$38/$C40-1</f>
        <v>0.54659640138408316</v>
      </c>
      <c r="E40" s="13">
        <f t="shared" si="7"/>
        <v>0.42474876802936334</v>
      </c>
      <c r="F40" s="13">
        <f t="shared" si="7"/>
        <v>0.17844961240310075</v>
      </c>
      <c r="G40" s="11"/>
    </row>
    <row r="41" spans="2:7" x14ac:dyDescent="0.2">
      <c r="B41" s="1" t="s">
        <v>499</v>
      </c>
      <c r="C41" s="3">
        <v>811</v>
      </c>
      <c r="D41" s="13">
        <f t="shared" si="8"/>
        <v>0.14421435367503066</v>
      </c>
      <c r="E41" s="13">
        <f t="shared" si="7"/>
        <v>5.4068139109269886E-2</v>
      </c>
      <c r="F41" s="13">
        <f t="shared" si="7"/>
        <v>-0.12815071832076397</v>
      </c>
      <c r="G41" s="11" t="s">
        <v>502</v>
      </c>
    </row>
    <row r="42" spans="2:7" x14ac:dyDescent="0.2">
      <c r="G42" s="11"/>
    </row>
    <row r="43" spans="2:7" x14ac:dyDescent="0.2">
      <c r="B43" s="100" t="s">
        <v>503</v>
      </c>
      <c r="C43" s="100"/>
      <c r="D43" s="100"/>
      <c r="E43" s="100"/>
      <c r="F43" s="100"/>
      <c r="G43" s="11"/>
    </row>
    <row r="44" spans="2:7" x14ac:dyDescent="0.2">
      <c r="B44" s="1" t="s">
        <v>504</v>
      </c>
      <c r="C44" s="16">
        <v>10.45</v>
      </c>
      <c r="G44" s="11" t="s">
        <v>513</v>
      </c>
    </row>
    <row r="45" spans="2:7" ht="15" x14ac:dyDescent="0.25">
      <c r="B45" s="1" t="s">
        <v>171</v>
      </c>
      <c r="C45" s="3">
        <v>398</v>
      </c>
      <c r="D45"/>
      <c r="G45" s="11" t="s">
        <v>514</v>
      </c>
    </row>
    <row r="46" spans="2:7" x14ac:dyDescent="0.2">
      <c r="B46" s="1" t="s">
        <v>505</v>
      </c>
      <c r="C46" s="2">
        <f>C45/C44*10</f>
        <v>380.86124401913878</v>
      </c>
      <c r="G46" s="11"/>
    </row>
    <row r="47" spans="2:7" x14ac:dyDescent="0.2">
      <c r="B47" s="1" t="s">
        <v>191</v>
      </c>
      <c r="C47" s="3">
        <v>299</v>
      </c>
      <c r="G47" s="11" t="s">
        <v>515</v>
      </c>
    </row>
    <row r="48" spans="2:7" x14ac:dyDescent="0.2">
      <c r="B48" s="1" t="s">
        <v>506</v>
      </c>
      <c r="C48" s="2">
        <f>C45-C47</f>
        <v>99</v>
      </c>
      <c r="G48" s="11"/>
    </row>
    <row r="49" spans="2:7" x14ac:dyDescent="0.2">
      <c r="B49" s="1" t="s">
        <v>274</v>
      </c>
      <c r="C49" s="61">
        <f>Fin_Inputs!H7</f>
        <v>0.252</v>
      </c>
      <c r="G49" s="11" t="s">
        <v>516</v>
      </c>
    </row>
    <row r="50" spans="2:7" x14ac:dyDescent="0.2">
      <c r="B50" s="1" t="s">
        <v>507</v>
      </c>
      <c r="C50" s="2">
        <f>C48*(1-C49)</f>
        <v>74.052000000000007</v>
      </c>
      <c r="G50" s="11"/>
    </row>
    <row r="51" spans="2:7" x14ac:dyDescent="0.2">
      <c r="G51" s="11"/>
    </row>
    <row r="52" spans="2:7" x14ac:dyDescent="0.2">
      <c r="B52" s="1" t="s">
        <v>508</v>
      </c>
      <c r="C52" s="3">
        <v>2014</v>
      </c>
      <c r="G52" s="11"/>
    </row>
    <row r="53" spans="2:7" x14ac:dyDescent="0.2">
      <c r="B53" s="1" t="s">
        <v>509</v>
      </c>
      <c r="C53" s="2">
        <f>C22+C52</f>
        <v>15422.9908</v>
      </c>
      <c r="G53" s="11" t="s">
        <v>517</v>
      </c>
    </row>
    <row r="54" spans="2:7" x14ac:dyDescent="0.2">
      <c r="B54" s="1" t="s">
        <v>510</v>
      </c>
      <c r="C54" s="5">
        <f>C50/C53</f>
        <v>4.8014033698314858E-3</v>
      </c>
    </row>
    <row r="55" spans="2:7" x14ac:dyDescent="0.2">
      <c r="B55" s="1" t="s">
        <v>511</v>
      </c>
      <c r="C55" s="114">
        <v>0.115</v>
      </c>
    </row>
    <row r="56" spans="2:7" x14ac:dyDescent="0.2">
      <c r="B56" s="1" t="s">
        <v>512</v>
      </c>
      <c r="C56" s="13">
        <f>C54-C55</f>
        <v>-0.11019859663016852</v>
      </c>
    </row>
    <row r="57" spans="2:7" x14ac:dyDescent="0.2">
      <c r="G57" s="11"/>
    </row>
    <row r="58" spans="2:7" x14ac:dyDescent="0.2">
      <c r="B58" s="100" t="s">
        <v>518</v>
      </c>
      <c r="C58" s="100"/>
      <c r="D58" s="100"/>
      <c r="E58" s="100"/>
      <c r="F58" s="100"/>
      <c r="G58" s="11"/>
    </row>
    <row r="59" spans="2:7" x14ac:dyDescent="0.2">
      <c r="B59" s="1" t="s">
        <v>519</v>
      </c>
      <c r="C59" s="16">
        <v>17.55</v>
      </c>
      <c r="G59" s="11" t="s">
        <v>530</v>
      </c>
    </row>
    <row r="60" spans="2:7" x14ac:dyDescent="0.2">
      <c r="B60" s="1" t="s">
        <v>520</v>
      </c>
      <c r="C60" s="115">
        <v>0.8</v>
      </c>
      <c r="G60" s="11" t="s">
        <v>531</v>
      </c>
    </row>
    <row r="61" spans="2:7" x14ac:dyDescent="0.2">
      <c r="B61" s="1" t="s">
        <v>521</v>
      </c>
      <c r="C61" s="10">
        <f>C59*C60</f>
        <v>14.040000000000001</v>
      </c>
      <c r="G61" s="11"/>
    </row>
    <row r="62" spans="2:7" x14ac:dyDescent="0.2">
      <c r="B62" s="1" t="s">
        <v>522</v>
      </c>
      <c r="C62" s="2">
        <f>C47+C52*Capex_DA!H11</f>
        <v>405.74199999999996</v>
      </c>
      <c r="G62" s="11"/>
    </row>
    <row r="63" spans="2:7" x14ac:dyDescent="0.2">
      <c r="B63" s="1" t="s">
        <v>523</v>
      </c>
      <c r="C63" s="2">
        <f>C55*C53</f>
        <v>1773.6439419999999</v>
      </c>
      <c r="G63" s="11"/>
    </row>
    <row r="64" spans="2:7" x14ac:dyDescent="0.2">
      <c r="B64" s="1" t="s">
        <v>524</v>
      </c>
      <c r="C64" s="2">
        <f>C63/(1-C49)</f>
        <v>2371.1817406417113</v>
      </c>
      <c r="G64" s="11"/>
    </row>
    <row r="65" spans="2:7" x14ac:dyDescent="0.2">
      <c r="B65" s="1" t="s">
        <v>525</v>
      </c>
      <c r="C65" s="2">
        <f>C64+C62</f>
        <v>2776.9237406417114</v>
      </c>
      <c r="G65" s="11"/>
    </row>
    <row r="66" spans="2:7" x14ac:dyDescent="0.2">
      <c r="B66" s="1" t="s">
        <v>526</v>
      </c>
      <c r="C66" s="2">
        <f>C65/C61*10</f>
        <v>1977.865912137971</v>
      </c>
      <c r="G66" s="11"/>
    </row>
    <row r="67" spans="2:7" x14ac:dyDescent="0.2">
      <c r="G67" s="11"/>
    </row>
    <row r="68" spans="2:7" x14ac:dyDescent="0.2">
      <c r="B68" s="1" t="s">
        <v>527</v>
      </c>
      <c r="C68" s="25">
        <f>Ops_Forecast!G39</f>
        <v>1103.5027552674228</v>
      </c>
      <c r="G68" s="11" t="s">
        <v>532</v>
      </c>
    </row>
    <row r="69" spans="2:7" x14ac:dyDescent="0.2">
      <c r="B69" s="1" t="s">
        <v>528</v>
      </c>
      <c r="C69" s="14">
        <f>C66/C68</f>
        <v>1.7923524909175736</v>
      </c>
      <c r="G69" s="11"/>
    </row>
    <row r="70" spans="2:7" x14ac:dyDescent="0.2">
      <c r="B70" s="1" t="s">
        <v>529</v>
      </c>
      <c r="C70" s="14">
        <f>C66/C46</f>
        <v>5.1931403974476877</v>
      </c>
      <c r="G70" s="11"/>
    </row>
    <row r="71" spans="2:7" x14ac:dyDescent="0.2">
      <c r="G71" s="11"/>
    </row>
    <row r="72" spans="2:7" x14ac:dyDescent="0.2">
      <c r="B72" s="100" t="s">
        <v>533</v>
      </c>
      <c r="C72" s="100"/>
      <c r="D72" s="100"/>
      <c r="E72" s="100"/>
      <c r="F72" s="100"/>
      <c r="G72" s="11"/>
    </row>
    <row r="73" spans="2:7" ht="15" x14ac:dyDescent="0.25">
      <c r="B73"/>
      <c r="C73" s="111" t="s">
        <v>534</v>
      </c>
      <c r="D73" s="111" t="s">
        <v>535</v>
      </c>
      <c r="E73" s="111" t="s">
        <v>536</v>
      </c>
      <c r="G73" s="11"/>
    </row>
    <row r="74" spans="2:7" x14ac:dyDescent="0.2">
      <c r="B74" s="1" t="s">
        <v>136</v>
      </c>
      <c r="C74" s="115">
        <v>0.7</v>
      </c>
      <c r="D74" s="115">
        <v>0.8</v>
      </c>
      <c r="E74" s="115">
        <v>0.85</v>
      </c>
      <c r="G74" s="11" t="s">
        <v>543</v>
      </c>
    </row>
    <row r="75" spans="2:7" x14ac:dyDescent="0.2">
      <c r="B75" s="1" t="s">
        <v>505</v>
      </c>
      <c r="C75" s="3">
        <v>700</v>
      </c>
      <c r="D75" s="3">
        <v>950</v>
      </c>
      <c r="E75" s="3">
        <v>1100</v>
      </c>
      <c r="G75" s="11"/>
    </row>
    <row r="76" spans="2:7" x14ac:dyDescent="0.2">
      <c r="B76" s="1" t="s">
        <v>504</v>
      </c>
      <c r="C76" s="9">
        <f>$C$59*C74</f>
        <v>12.285</v>
      </c>
      <c r="D76" s="9">
        <f t="shared" ref="D76:E76" si="9">$C$59*D74</f>
        <v>14.040000000000001</v>
      </c>
      <c r="E76" s="9">
        <f t="shared" si="9"/>
        <v>14.9175</v>
      </c>
      <c r="G76" s="11"/>
    </row>
    <row r="77" spans="2:7" x14ac:dyDescent="0.2">
      <c r="B77" s="1" t="s">
        <v>537</v>
      </c>
      <c r="C77" s="2">
        <f>C76*C75/10</f>
        <v>859.95</v>
      </c>
      <c r="D77" s="2">
        <f t="shared" ref="D77:E77" si="10">D76*D75/10</f>
        <v>1333.8</v>
      </c>
      <c r="E77" s="2">
        <f t="shared" si="10"/>
        <v>1640.925</v>
      </c>
      <c r="G77" s="11"/>
    </row>
    <row r="78" spans="2:7" x14ac:dyDescent="0.2">
      <c r="B78" s="1" t="s">
        <v>538</v>
      </c>
      <c r="C78" s="2">
        <f>$C$62</f>
        <v>405.74199999999996</v>
      </c>
      <c r="D78" s="2">
        <f t="shared" ref="D78:E78" si="11">$C$62</f>
        <v>405.74199999999996</v>
      </c>
      <c r="E78" s="2">
        <f t="shared" si="11"/>
        <v>405.74199999999996</v>
      </c>
      <c r="G78" s="11"/>
    </row>
    <row r="79" spans="2:7" x14ac:dyDescent="0.2">
      <c r="B79" s="1" t="s">
        <v>506</v>
      </c>
      <c r="C79" s="2">
        <f>C77-C78</f>
        <v>454.20800000000008</v>
      </c>
      <c r="D79" s="2">
        <f t="shared" ref="D79:E79" si="12">D77-D78</f>
        <v>928.05799999999999</v>
      </c>
      <c r="E79" s="2">
        <f t="shared" si="12"/>
        <v>1235.183</v>
      </c>
      <c r="G79" s="11"/>
    </row>
    <row r="80" spans="2:7" x14ac:dyDescent="0.2">
      <c r="B80" s="1" t="s">
        <v>507</v>
      </c>
      <c r="C80" s="2">
        <f>C79*(1-$C$49)</f>
        <v>339.74758400000007</v>
      </c>
      <c r="D80" s="2">
        <f t="shared" ref="D80:E80" si="13">D79*(1-$C$49)</f>
        <v>694.18738399999995</v>
      </c>
      <c r="E80" s="2">
        <f t="shared" si="13"/>
        <v>923.91688399999998</v>
      </c>
      <c r="G80" s="11"/>
    </row>
    <row r="81" spans="2:7" x14ac:dyDescent="0.2">
      <c r="B81" s="1" t="s">
        <v>509</v>
      </c>
      <c r="C81" s="2">
        <f>$C$53</f>
        <v>15422.9908</v>
      </c>
      <c r="D81" s="2">
        <f t="shared" ref="D81:E81" si="14">$C$53</f>
        <v>15422.9908</v>
      </c>
      <c r="E81" s="2">
        <f t="shared" si="14"/>
        <v>15422.9908</v>
      </c>
      <c r="G81" s="11" t="s">
        <v>544</v>
      </c>
    </row>
    <row r="82" spans="2:7" x14ac:dyDescent="0.2">
      <c r="B82" s="1" t="s">
        <v>510</v>
      </c>
      <c r="C82" s="5">
        <f>C80/C81</f>
        <v>2.2028644664691111E-2</v>
      </c>
      <c r="D82" s="5">
        <f t="shared" ref="D82:E82" si="15">D80/D81</f>
        <v>4.5009907157566351E-2</v>
      </c>
      <c r="E82" s="5">
        <f t="shared" si="15"/>
        <v>5.990516988442994E-2</v>
      </c>
      <c r="G82" s="11"/>
    </row>
    <row r="83" spans="2:7" x14ac:dyDescent="0.2">
      <c r="B83" s="1" t="s">
        <v>539</v>
      </c>
      <c r="C83" s="5">
        <f>$C$55</f>
        <v>0.115</v>
      </c>
      <c r="D83" s="5">
        <f t="shared" ref="D83:E83" si="16">$C$55</f>
        <v>0.115</v>
      </c>
      <c r="E83" s="5">
        <f t="shared" si="16"/>
        <v>0.115</v>
      </c>
      <c r="G83" s="11" t="s">
        <v>545</v>
      </c>
    </row>
    <row r="84" spans="2:7" x14ac:dyDescent="0.2">
      <c r="B84" s="1" t="s">
        <v>540</v>
      </c>
      <c r="C84" s="5">
        <f>C82-C83</f>
        <v>-9.2971355335308897E-2</v>
      </c>
      <c r="D84" s="5">
        <f t="shared" ref="D84:E84" si="17">D82-D83</f>
        <v>-6.9990092842433654E-2</v>
      </c>
      <c r="E84" s="5">
        <f t="shared" si="17"/>
        <v>-5.5094830115570065E-2</v>
      </c>
      <c r="G84" s="11"/>
    </row>
    <row r="85" spans="2:7" x14ac:dyDescent="0.2">
      <c r="B85" s="1" t="s">
        <v>541</v>
      </c>
      <c r="C85" s="22">
        <f>C80-C83*C81</f>
        <v>-1433.896358</v>
      </c>
      <c r="D85" s="22">
        <f t="shared" ref="D85:E85" si="18">D80-D83*D81</f>
        <v>-1079.4565579999999</v>
      </c>
      <c r="E85" s="22">
        <f t="shared" si="18"/>
        <v>-849.72705799999994</v>
      </c>
      <c r="G85" s="11"/>
    </row>
    <row r="86" spans="2:7" x14ac:dyDescent="0.2">
      <c r="B86" s="1" t="s">
        <v>542</v>
      </c>
      <c r="C86" s="14">
        <f>C81/C77</f>
        <v>17.934752950752948</v>
      </c>
      <c r="D86" s="14">
        <f t="shared" ref="D86:E86" si="19">D81/D77</f>
        <v>11.563195981406508</v>
      </c>
      <c r="E86" s="14">
        <f t="shared" si="19"/>
        <v>9.3989614394320284</v>
      </c>
      <c r="G86" s="11"/>
    </row>
    <row r="87" spans="2:7" x14ac:dyDescent="0.2">
      <c r="G87" s="11"/>
    </row>
    <row r="88" spans="2:7" x14ac:dyDescent="0.2">
      <c r="B88" s="100" t="s">
        <v>546</v>
      </c>
      <c r="C88" s="100"/>
      <c r="D88" s="100"/>
      <c r="E88" s="100"/>
      <c r="F88" s="100"/>
      <c r="G88" s="11"/>
    </row>
    <row r="89" spans="2:7" x14ac:dyDescent="0.2">
      <c r="B89" s="1" t="s">
        <v>547</v>
      </c>
      <c r="C89" s="16">
        <v>50.5</v>
      </c>
      <c r="G89" s="11" t="s">
        <v>556</v>
      </c>
    </row>
    <row r="90" spans="2:7" x14ac:dyDescent="0.2">
      <c r="B90" s="1" t="s">
        <v>548</v>
      </c>
      <c r="C90" s="102">
        <f>C18</f>
        <v>14.45</v>
      </c>
      <c r="G90" s="11" t="s">
        <v>557</v>
      </c>
    </row>
    <row r="91" spans="2:7" x14ac:dyDescent="0.2">
      <c r="B91" s="1" t="s">
        <v>549</v>
      </c>
      <c r="C91" s="10">
        <f>C89-C90</f>
        <v>36.049999999999997</v>
      </c>
      <c r="G91" s="11"/>
    </row>
    <row r="92" spans="2:7" x14ac:dyDescent="0.2">
      <c r="B92" s="1" t="s">
        <v>550</v>
      </c>
      <c r="C92" s="61">
        <f>Ops_Data!H15</f>
        <v>0.77374599786552822</v>
      </c>
      <c r="G92" s="11" t="s">
        <v>558</v>
      </c>
    </row>
    <row r="93" spans="2:7" x14ac:dyDescent="0.2">
      <c r="B93" s="1" t="s">
        <v>551</v>
      </c>
      <c r="C93" s="9">
        <f>C91*C92</f>
        <v>27.893543223052291</v>
      </c>
      <c r="G93" s="11"/>
    </row>
    <row r="94" spans="2:7" x14ac:dyDescent="0.2">
      <c r="B94" s="1" t="s">
        <v>552</v>
      </c>
      <c r="C94" s="25">
        <f>Ops_Data!H16</f>
        <v>5047.5714285714284</v>
      </c>
      <c r="G94" s="11" t="s">
        <v>559</v>
      </c>
    </row>
    <row r="95" spans="2:7" x14ac:dyDescent="0.2">
      <c r="G95" s="11"/>
    </row>
    <row r="96" spans="2:7" x14ac:dyDescent="0.2">
      <c r="C96" s="111" t="s">
        <v>534</v>
      </c>
      <c r="D96" s="111" t="s">
        <v>535</v>
      </c>
      <c r="E96" s="111" t="s">
        <v>536</v>
      </c>
      <c r="G96" s="11"/>
    </row>
    <row r="97" spans="2:7" x14ac:dyDescent="0.2">
      <c r="B97" s="1" t="s">
        <v>553</v>
      </c>
      <c r="C97" s="2">
        <f>-C85/(1-$C$49)</f>
        <v>1916.9737406417112</v>
      </c>
      <c r="D97" s="2">
        <f t="shared" ref="D97:E97" si="20">-D85/(1-$C$49)</f>
        <v>1443.123740641711</v>
      </c>
      <c r="E97" s="2">
        <f t="shared" si="20"/>
        <v>1135.9987406417113</v>
      </c>
      <c r="G97" s="11"/>
    </row>
    <row r="98" spans="2:7" x14ac:dyDescent="0.2">
      <c r="B98" s="1" t="s">
        <v>554</v>
      </c>
      <c r="C98" s="2">
        <f>C97/$C$93*10</f>
        <v>687.24640871635518</v>
      </c>
      <c r="D98" s="2">
        <f t="shared" ref="D98:E98" si="21">D97/$C$93*10</f>
        <v>517.3683848988602</v>
      </c>
      <c r="E98" s="2">
        <f t="shared" si="21"/>
        <v>407.26225835048399</v>
      </c>
      <c r="G98" s="11"/>
    </row>
    <row r="99" spans="2:7" x14ac:dyDescent="0.2">
      <c r="B99" s="1" t="s">
        <v>555</v>
      </c>
      <c r="C99" s="5">
        <f>C98/$C$94</f>
        <v>0.13615387487658806</v>
      </c>
      <c r="D99" s="5">
        <f t="shared" ref="D99:E99" si="22">D98/$C$94</f>
        <v>0.1024984771825778</v>
      </c>
      <c r="E99" s="5">
        <f t="shared" si="22"/>
        <v>8.0684793492015627E-2</v>
      </c>
      <c r="G99" s="11"/>
    </row>
    <row r="100" spans="2:7" x14ac:dyDescent="0.2">
      <c r="G100" s="11"/>
    </row>
    <row r="101" spans="2:7" x14ac:dyDescent="0.2">
      <c r="B101" s="117" t="s">
        <v>560</v>
      </c>
      <c r="C101" s="117"/>
      <c r="D101" s="117"/>
      <c r="E101" s="117"/>
      <c r="F101" s="117"/>
      <c r="G101" s="11"/>
    </row>
    <row r="102" spans="2:7" ht="27" customHeight="1" x14ac:dyDescent="0.2">
      <c r="B102" s="116" t="s">
        <v>561</v>
      </c>
      <c r="C102" s="116"/>
      <c r="D102" s="116"/>
      <c r="E102" s="116"/>
      <c r="F102" s="116"/>
      <c r="G102" s="11"/>
    </row>
    <row r="103" spans="2:7" x14ac:dyDescent="0.2">
      <c r="B103" s="118" t="s">
        <v>562</v>
      </c>
      <c r="C103" s="118"/>
      <c r="D103" s="118"/>
      <c r="E103" s="118"/>
      <c r="F103" s="118"/>
      <c r="G103" s="11"/>
    </row>
    <row r="104" spans="2:7" x14ac:dyDescent="0.2">
      <c r="B104" s="118" t="s">
        <v>563</v>
      </c>
      <c r="C104" s="118"/>
      <c r="D104" s="118"/>
      <c r="E104" s="118"/>
      <c r="F104" s="118"/>
    </row>
    <row r="105" spans="2:7" ht="27" customHeight="1" x14ac:dyDescent="0.2">
      <c r="B105" s="118" t="s">
        <v>564</v>
      </c>
      <c r="C105" s="118"/>
      <c r="D105" s="118"/>
      <c r="E105" s="118"/>
      <c r="F105" s="118"/>
    </row>
    <row r="106" spans="2:7" ht="27" customHeight="1" x14ac:dyDescent="0.2">
      <c r="B106" s="118" t="s">
        <v>565</v>
      </c>
      <c r="C106" s="118"/>
      <c r="D106" s="118"/>
      <c r="E106" s="118"/>
      <c r="F106" s="118"/>
    </row>
  </sheetData>
  <mergeCells count="16">
    <mergeCell ref="B102:F102"/>
    <mergeCell ref="B103:F103"/>
    <mergeCell ref="B104:F104"/>
    <mergeCell ref="B105:F105"/>
    <mergeCell ref="B106:F106"/>
    <mergeCell ref="B36:F36"/>
    <mergeCell ref="B43:F43"/>
    <mergeCell ref="B58:F58"/>
    <mergeCell ref="B72:F72"/>
    <mergeCell ref="B88:F88"/>
    <mergeCell ref="B101:F101"/>
    <mergeCell ref="B16:F16"/>
    <mergeCell ref="B25:F25"/>
    <mergeCell ref="B31:F31"/>
    <mergeCell ref="B2:F2"/>
    <mergeCell ref="B5:F5"/>
  </mergeCells>
  <conditionalFormatting sqref="C3">
    <cfRule type="containsText" dxfId="3" priority="1" operator="containsText" text="OK">
      <formula>NOT(ISERROR(SEARCH("OK",C3)))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C648-7786-460E-BA2A-B6D98F63745F}">
  <sheetPr>
    <tabColor theme="7" tint="0.39997558519241921"/>
  </sheetPr>
  <dimension ref="B2:E28"/>
  <sheetViews>
    <sheetView workbookViewId="0"/>
  </sheetViews>
  <sheetFormatPr defaultRowHeight="15" x14ac:dyDescent="0.25"/>
  <cols>
    <col min="1" max="1" width="2.5703125" customWidth="1"/>
    <col min="2" max="2" width="33.28515625" bestFit="1" customWidth="1"/>
    <col min="3" max="3" width="18.85546875" customWidth="1"/>
    <col min="4" max="4" width="18.42578125" customWidth="1"/>
    <col min="5" max="5" width="17" customWidth="1"/>
  </cols>
  <sheetData>
    <row r="2" spans="2:5" ht="18" x14ac:dyDescent="0.25">
      <c r="B2" s="95" t="s">
        <v>330</v>
      </c>
      <c r="C2" s="95"/>
      <c r="D2" s="95"/>
      <c r="E2" s="95"/>
    </row>
    <row r="4" spans="2:5" x14ac:dyDescent="0.25">
      <c r="B4" s="1" t="s">
        <v>331</v>
      </c>
      <c r="C4" s="1"/>
      <c r="E4" t="str">
        <f>IF(COUNTIF(E7:E19,"ERROR")=0,"MODEL OK","CHECK ERRORS")</f>
        <v>MODEL OK</v>
      </c>
    </row>
    <row r="6" spans="2:5" x14ac:dyDescent="0.25">
      <c r="B6" s="82" t="s">
        <v>355</v>
      </c>
      <c r="C6" s="82" t="s">
        <v>356</v>
      </c>
      <c r="D6" s="82" t="s">
        <v>357</v>
      </c>
      <c r="E6" s="82" t="s">
        <v>358</v>
      </c>
    </row>
    <row r="7" spans="2:5" x14ac:dyDescent="0.25">
      <c r="B7" s="1" t="s">
        <v>322</v>
      </c>
      <c r="C7" s="1" t="s">
        <v>337</v>
      </c>
      <c r="D7" s="1">
        <f>ROUND(SUMPRODUCT(ABS(BS!C36:L36)),0)</f>
        <v>0</v>
      </c>
      <c r="E7" s="1" t="str">
        <f>IF(D7=0,"OK","ERROR")</f>
        <v>OK</v>
      </c>
    </row>
    <row r="8" spans="2:5" x14ac:dyDescent="0.25">
      <c r="B8" s="1" t="s">
        <v>325</v>
      </c>
      <c r="C8" s="1" t="s">
        <v>338</v>
      </c>
      <c r="D8" s="1">
        <f>ROUND(SUMPRODUCT(ABS(Capex_DA!D34:L34)),0)</f>
        <v>0</v>
      </c>
      <c r="E8" s="1" t="str">
        <f t="shared" ref="E8:E19" si="0">IF(D8=0,"OK","ERROR")</f>
        <v>OK</v>
      </c>
    </row>
    <row r="9" spans="2:5" x14ac:dyDescent="0.25">
      <c r="B9" s="1" t="s">
        <v>323</v>
      </c>
      <c r="C9" s="1" t="s">
        <v>339</v>
      </c>
      <c r="D9" s="1">
        <f>ROUND(SUMPRODUCT(ABS(Ops_Forecast!C48:G48)),0)</f>
        <v>0</v>
      </c>
      <c r="E9" s="1" t="str">
        <f t="shared" si="0"/>
        <v>OK</v>
      </c>
    </row>
    <row r="10" spans="2:5" x14ac:dyDescent="0.25">
      <c r="B10" s="1" t="s">
        <v>332</v>
      </c>
      <c r="C10" s="1" t="s">
        <v>339</v>
      </c>
      <c r="D10" s="1">
        <f>ROUND(SUMPRODUCT(ABS(Ops_Forecast!C51:G51)),0)</f>
        <v>0</v>
      </c>
      <c r="E10" s="1" t="str">
        <f t="shared" si="0"/>
        <v>OK</v>
      </c>
    </row>
    <row r="11" spans="2:5" x14ac:dyDescent="0.25">
      <c r="B11" s="1" t="s">
        <v>324</v>
      </c>
      <c r="C11" s="1" t="s">
        <v>339</v>
      </c>
      <c r="D11" s="1">
        <f>ROUND(SUMPRODUCT(ABS(Ops_Forecast!C52:G52)),0)</f>
        <v>0</v>
      </c>
      <c r="E11" s="1" t="str">
        <f t="shared" si="0"/>
        <v>OK</v>
      </c>
    </row>
    <row r="12" spans="2:5" x14ac:dyDescent="0.25">
      <c r="B12" s="1" t="s">
        <v>333</v>
      </c>
      <c r="C12" s="1" t="s">
        <v>339</v>
      </c>
      <c r="D12" s="1">
        <f>ROUND(SUMPRODUCT(ABS(Ops_Forecast!C50:G50)),0)</f>
        <v>0</v>
      </c>
      <c r="E12" s="1" t="str">
        <f t="shared" si="0"/>
        <v>OK</v>
      </c>
    </row>
    <row r="13" spans="2:5" x14ac:dyDescent="0.25">
      <c r="B13" s="1" t="s">
        <v>334</v>
      </c>
      <c r="C13" s="1" t="s">
        <v>340</v>
      </c>
      <c r="D13" s="1">
        <f>ROUND(SUMPRODUCT(ABS(WC!H24:L24)),0)</f>
        <v>0</v>
      </c>
      <c r="E13" s="1" t="str">
        <f t="shared" si="0"/>
        <v>OK</v>
      </c>
    </row>
    <row r="14" spans="2:5" x14ac:dyDescent="0.25">
      <c r="B14" s="1" t="s">
        <v>429</v>
      </c>
      <c r="C14" s="1" t="s">
        <v>340</v>
      </c>
      <c r="D14">
        <f>ROUND(SUMPRODUCT(ABS(WC!H25:L25)),0)</f>
        <v>0</v>
      </c>
      <c r="E14" s="1" t="str">
        <f t="shared" si="0"/>
        <v>OK</v>
      </c>
    </row>
    <row r="15" spans="2:5" x14ac:dyDescent="0.25">
      <c r="B15" s="1" t="s">
        <v>430</v>
      </c>
      <c r="C15" s="1" t="s">
        <v>340</v>
      </c>
      <c r="D15" s="1">
        <f>ROUND(SUMPRODUCT(ABS(WC!H26:L26)),0)</f>
        <v>0</v>
      </c>
      <c r="E15" s="1" t="str">
        <f t="shared" si="0"/>
        <v>OK</v>
      </c>
    </row>
    <row r="16" spans="2:5" x14ac:dyDescent="0.25">
      <c r="B16" s="1" t="s">
        <v>335</v>
      </c>
      <c r="C16" s="1" t="s">
        <v>341</v>
      </c>
      <c r="D16" s="1">
        <f>ROUND(SUMPRODUCT(ABS(Debt!H24:L24)),0)</f>
        <v>0</v>
      </c>
      <c r="E16" s="1" t="str">
        <f t="shared" si="0"/>
        <v>OK</v>
      </c>
    </row>
    <row r="17" spans="2:5" x14ac:dyDescent="0.25">
      <c r="B17" s="1" t="s">
        <v>336</v>
      </c>
      <c r="C17" s="1" t="s">
        <v>341</v>
      </c>
      <c r="D17">
        <f>COUNTIF(Debt!H25:L25,"ERROR")</f>
        <v>0</v>
      </c>
      <c r="E17" s="1" t="str">
        <f t="shared" si="0"/>
        <v>OK</v>
      </c>
    </row>
    <row r="18" spans="2:5" x14ac:dyDescent="0.25">
      <c r="B18" s="1" t="s">
        <v>326</v>
      </c>
      <c r="C18" s="1" t="s">
        <v>342</v>
      </c>
      <c r="D18">
        <f>COUNTIF(CF!H30:L30,"ERROR")</f>
        <v>0</v>
      </c>
      <c r="E18" s="1" t="str">
        <f t="shared" si="0"/>
        <v>OK</v>
      </c>
    </row>
    <row r="19" spans="2:5" x14ac:dyDescent="0.25">
      <c r="B19" s="1" t="s">
        <v>344</v>
      </c>
      <c r="C19" s="1" t="s">
        <v>342</v>
      </c>
      <c r="D19" s="1">
        <f>ROUND(SUMPRODUCT(ABS(CF!H31:L31)),0)</f>
        <v>0</v>
      </c>
      <c r="E19" s="1" t="str">
        <f t="shared" si="0"/>
        <v>OK</v>
      </c>
    </row>
    <row r="20" spans="2:5" x14ac:dyDescent="0.25">
      <c r="B20" s="1"/>
      <c r="C20" s="1"/>
      <c r="D20" s="1"/>
      <c r="E20" s="1"/>
    </row>
    <row r="21" spans="2:5" x14ac:dyDescent="0.25">
      <c r="B21" s="94" t="s">
        <v>353</v>
      </c>
      <c r="C21" s="94"/>
      <c r="D21" s="94"/>
      <c r="E21" s="94"/>
    </row>
    <row r="22" spans="2:5" x14ac:dyDescent="0.25">
      <c r="B22" s="1" t="s">
        <v>354</v>
      </c>
      <c r="C22" s="1" t="s">
        <v>339</v>
      </c>
      <c r="D22" s="1">
        <f>COUNTIF(Ops_Forecast!H49:L49,"Add Capacity")</f>
        <v>0</v>
      </c>
      <c r="E22" s="1" t="str">
        <f>IF(D22=0,"OK","WARNING")</f>
        <v>OK</v>
      </c>
    </row>
    <row r="23" spans="2:5" x14ac:dyDescent="0.25">
      <c r="B23" s="1"/>
    </row>
    <row r="24" spans="2:5" x14ac:dyDescent="0.25">
      <c r="B24" s="1"/>
    </row>
    <row r="25" spans="2:5" x14ac:dyDescent="0.25">
      <c r="B25" s="1"/>
    </row>
    <row r="28" spans="2:5" x14ac:dyDescent="0.25">
      <c r="B28" s="8"/>
      <c r="C28" s="8"/>
    </row>
  </sheetData>
  <mergeCells count="2">
    <mergeCell ref="B2:E2"/>
    <mergeCell ref="B21:E21"/>
  </mergeCells>
  <conditionalFormatting sqref="E4 E7:E19 E22">
    <cfRule type="containsText" dxfId="2" priority="3" operator="containsText" text="OK">
      <formula>NOT(ISERROR(SEARCH("OK",E4)))</formula>
    </cfRule>
  </conditionalFormatting>
  <conditionalFormatting sqref="E4 E7:E19">
    <cfRule type="containsText" dxfId="1" priority="2" operator="containsText" text="ERROR">
      <formula>NOT(ISERROR(SEARCH("ERROR",E4)))</formula>
    </cfRule>
  </conditionalFormatting>
  <conditionalFormatting sqref="E22">
    <cfRule type="containsText" dxfId="0" priority="1" operator="containsText" text="WARNING">
      <formula>NOT(ISERROR(SEARCH("WARNING",E22)))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IS</vt:lpstr>
      <vt:lpstr>BS</vt:lpstr>
      <vt:lpstr>CF</vt:lpstr>
      <vt:lpstr>Ops_Data</vt:lpstr>
      <vt:lpstr>Ops_Forecast</vt:lpstr>
      <vt:lpstr>Capex_DA</vt:lpstr>
      <vt:lpstr>WC</vt:lpstr>
      <vt:lpstr>Debt</vt:lpstr>
      <vt:lpstr>Fin_Inputs</vt:lpstr>
      <vt:lpstr>Acquisition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J</dc:creator>
  <cp:lastModifiedBy>A J</cp:lastModifiedBy>
  <dcterms:created xsi:type="dcterms:W3CDTF">2026-10-17T22:18:11Z</dcterms:created>
  <dcterms:modified xsi:type="dcterms:W3CDTF">2026-10-28T17:48:03Z</dcterms:modified>
</cp:coreProperties>
</file>